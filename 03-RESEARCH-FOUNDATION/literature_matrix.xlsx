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000"/>
  </bookViews>
  <sheets>
    <sheet name="Literature Matrix" sheetId="1" r:id="rId1"/>
    <sheet name="Quality Appraisa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<sst xmlns="http://schemas.openxmlformats.org/spreadsheetml/2006/main" count="238" uniqueCount="115">
  <si>
    <t>CyberRAG-Bench Literature Matrix</t>
  </si>
  <si>
    <t>Systematic scoping review evidence matrix | Protocol v0.1 | 30 September 2026</t>
  </si>
  <si>
    <t>Add one study per row. Keep extracted evidence separate from interpretation. Record the DOI or stable source URL for every study.</t>
  </si>
  <si>
    <t>Study ID</t>
  </si>
  <si>
    <t>Screening Status</t>
  </si>
  <si>
    <t>Evidence Stream</t>
  </si>
  <si>
    <t>Full Citation</t>
  </si>
  <si>
    <t>DOI or URL</t>
  </si>
  <si>
    <t>Year</t>
  </si>
  <si>
    <t>Venue</t>
  </si>
  <si>
    <t>Peer Reviewed</t>
  </si>
  <si>
    <t>Study Type</t>
  </si>
  <si>
    <t>Application Domain</t>
  </si>
  <si>
    <t>Research Objective</t>
  </si>
  <si>
    <t>Dataset or Corpus</t>
  </si>
  <si>
    <t>Corpus Size</t>
  </si>
  <si>
    <t>Language</t>
  </si>
  <si>
    <t>Modality</t>
  </si>
  <si>
    <t>Retrieval Method</t>
  </si>
  <si>
    <t>Embedding Model</t>
  </si>
  <si>
    <t>Chunking Strategy</t>
  </si>
  <si>
    <t>Reranking Method</t>
  </si>
  <si>
    <t>Generator Model</t>
  </si>
  <si>
    <t>Table Processing</t>
  </si>
  <si>
    <t>Cross-Lingual Method</t>
  </si>
  <si>
    <t>Citation Mechanism</t>
  </si>
  <si>
    <t>Abstention Method</t>
  </si>
  <si>
    <t>Baseline Systems</t>
  </si>
  <si>
    <t>Retrieval Metrics</t>
  </si>
  <si>
    <t>Generation Metrics</t>
  </si>
  <si>
    <t>Human Evaluation</t>
  </si>
  <si>
    <t>Statistical Tests</t>
  </si>
  <si>
    <t>Main Findings</t>
  </si>
  <si>
    <t>Reported Limitations</t>
  </si>
  <si>
    <t>Reported Research Gaps</t>
  </si>
  <si>
    <t>Code Available</t>
  </si>
  <si>
    <t>Data Available</t>
  </si>
  <si>
    <t>Relevance to CyberRAG-Bench</t>
  </si>
  <si>
    <t>Review Notes</t>
  </si>
  <si>
    <t>Last Updated</t>
  </si>
  <si>
    <t>S001</t>
  </si>
  <si>
    <t>Seed - pending full text</t>
  </si>
  <si>
    <t>B: RAG and Scientific QA</t>
  </si>
  <si>
    <t>Lewis, P. et al. (2020). Retrieval-Augmented Generation for Knowledge-Intensive NLP Tasks. NeurIPS 33.</t>
  </si>
  <si>
    <t>https://arxiv.org/abs/2005.11401</t>
  </si>
  <si>
    <t>NeurIPS</t>
  </si>
  <si>
    <t>Yes</t>
  </si>
  <si>
    <t>Empirical method</t>
  </si>
  <si>
    <t>Knowledge-intensive NLP</t>
  </si>
  <si>
    <t>Introduce RAG by combining parametric generation with non-parametric memory.</t>
  </si>
  <si>
    <t/>
  </si>
  <si>
    <t>Reported improved factual generation and state-of-the-art results on three open-domain question-answering tasks.</t>
  </si>
  <si>
    <t>High</t>
  </si>
  <si>
    <t>Foundational RAG study. Complete full-text extraction before final synthesis.</t>
  </si>
  <si>
    <t>S002</t>
  </si>
  <si>
    <t>Es, S., James, J., Espinosa Anke, L., and Schockaert, S. (2024). RAGAs: Automated Evaluation of Retrieval Augmented Generation. EACL 2024 System Demonstrations, 150-158.</t>
  </si>
  <si>
    <t>https://doi.org/10.18653/v1/2024.eacl-demo.16</t>
  </si>
  <si>
    <t>EACL System Demonstrations</t>
  </si>
  <si>
    <t>Evaluation framework</t>
  </si>
  <si>
    <t>RAG evaluation</t>
  </si>
  <si>
    <t>Provide reference-free evaluation across retrieval context, faithfulness, and answer quality.</t>
  </si>
  <si>
    <t>Introduced a suite of metrics for evaluating retrieval and generation dimensions without human ground-truth answers.</t>
  </si>
  <si>
    <t>Primary source for generation and retrieval evaluation design.</t>
  </si>
  <si>
    <t>S003</t>
  </si>
  <si>
    <t>E: Faithfulness and Abstention</t>
  </si>
  <si>
    <t>Ru, D. et al. (2024). RAGChecker: A Fine-grained Framework for Diagnosing Retrieval-Augmented Generation. NeurIPS 2024 Datasets and Benchmarks Track.</t>
  </si>
  <si>
    <t>https://doi.org/10.52202/079017-0692</t>
  </si>
  <si>
    <t>NeurIPS Datasets and Benchmarks</t>
  </si>
  <si>
    <t>Fine-grained RAG diagnosis</t>
  </si>
  <si>
    <t>Diagnose retrieval and generation modules with fine-grained metrics.</t>
  </si>
  <si>
    <t>Eight RAG systems reported in the study</t>
  </si>
  <si>
    <t>Meta-evaluation against human judgments</t>
  </si>
  <si>
    <t>Reported stronger correlation with human judgments than other evaluated metrics and identified architecture trade-offs.</t>
  </si>
  <si>
    <t>Use for diagnostic metric selection and system-level comparisons.</t>
  </si>
  <si>
    <t>S004</t>
  </si>
  <si>
    <t>Filice, S. et al. (2025). Generate but Verify: Answering with Faithfulness in RAG-based Question Answering. IJCNLP-AACL 2025, 1017-1037.</t>
  </si>
  <si>
    <t>https://doi.org/10.18653/v1/2025.ijcnlp-long.56</t>
  </si>
  <si>
    <t>IJCNLP-AACL</t>
  </si>
  <si>
    <t>Evaluation method</t>
  </si>
  <si>
    <t>Faithful RAG question answering</t>
  </si>
  <si>
    <t>Couple answer generation with explicit faithfulness prediction and fallback decisions.</t>
  </si>
  <si>
    <t>Faithfulness-aware fallback framework</t>
  </si>
  <si>
    <t>Faithfulness precision and recall variants</t>
  </si>
  <si>
    <t>Showed that improving faithfulness-aware answering metrics can improve downstream performance.</t>
  </si>
  <si>
    <t>Use for abstention and unsupported-answer evaluation.</t>
  </si>
  <si>
    <t>S005</t>
  </si>
  <si>
    <t>A: Cyberbullying and Content Moderation</t>
  </si>
  <si>
    <t>Fashakh, A. M. et al. (2025). Egyptian Informatics Journal, 32, 100856.</t>
  </si>
  <si>
    <t>https://doi.org/10.1016/j.eij.2025.100856</t>
  </si>
  <si>
    <t>Egyptian Informatics Journal</t>
  </si>
  <si>
    <t>Application study</t>
  </si>
  <si>
    <t>Cyberbullying detection and sentiment analysis</t>
  </si>
  <si>
    <t>Evaluate traditional and neural models for cyberbullying analysis using textual and emotional features.</t>
  </si>
  <si>
    <t>Cyberbullying tweet dataset</t>
  </si>
  <si>
    <t>Text</t>
  </si>
  <si>
    <t>Reported cyberbullying classification, category analysis, and sentiment-model results.</t>
  </si>
  <si>
    <t>Unclear</t>
  </si>
  <si>
    <t>Domain seed source and current PDF-RAG pilot corpus.</t>
  </si>
  <si>
    <t>Study Quality Appraisal</t>
  </si>
  <si>
    <t>Score each criterion from 0 to 2. Use the notes column to justify low or uncertain scores.</t>
  </si>
  <si>
    <t>Study Citation</t>
  </si>
  <si>
    <t>Clear Objective</t>
  </si>
  <si>
    <t>Dataset Description</t>
  </si>
  <si>
    <t>Reproducible Method</t>
  </si>
  <si>
    <t>Baseline Comparison</t>
  </si>
  <si>
    <t>Suitable Metrics</t>
  </si>
  <si>
    <t>Statistical Analysis</t>
  </si>
  <si>
    <t>Error Analysis</t>
  </si>
  <si>
    <t>Code or Data</t>
  </si>
  <si>
    <t>Limitations Reported</t>
  </si>
  <si>
    <t>Total Score</t>
  </si>
  <si>
    <t>Quality Level</t>
  </si>
  <si>
    <t>Reviewer</t>
  </si>
  <si>
    <t>Assessment Date</t>
  </si>
  <si>
    <t>Quality Notes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</si>
</sst>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</numFmts>
  <fonts count="25">
    <font>
      <sz val="11"/>
      <name val="Carlito"/>
      <charset val="134"/>
    </font>
    <font>
      <b/>
      <sz val="14"/>
      <color rgb="FF1F4E78"/>
      <name val="Arial"/>
      <charset val="134"/>
    </font>
    <font>
      <i/>
      <sz val="10"/>
      <color rgb="FF595959"/>
      <name val="Arial"/>
      <charset val="134"/>
    </font>
    <font>
      <b/>
      <sz val="10"/>
      <color rgb="FFFFFFFF"/>
      <name val="Arial"/>
      <charset val="134"/>
    </font>
    <font>
      <sz val="10"/>
      <color rgb="FF1F2937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/>
      <top/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 style="thin">
        <color rgb="FFD9E2F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177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3" borderId="10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1" applyNumberFormat="0" applyFill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3" fillId="0" borderId="12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13" applyNumberFormat="0" applyAlignment="0" applyProtection="0">
      <alignment vertical="center"/>
    </xf>
    <xf numFmtId="0" fontId="15" fillId="5" borderId="14" applyNumberFormat="0" applyAlignment="0" applyProtection="0">
      <alignment vertical="center"/>
    </xf>
    <xf numFmtId="0" fontId="16" fillId="5" borderId="13" applyNumberFormat="0" applyAlignment="0" applyProtection="0">
      <alignment vertical="center"/>
    </xf>
    <xf numFmtId="0" fontId="17" fillId="6" borderId="15" applyNumberFormat="0" applyAlignment="0" applyProtection="0">
      <alignment vertical="center"/>
    </xf>
    <xf numFmtId="0" fontId="18" fillId="0" borderId="16" applyNumberFormat="0" applyFill="0" applyAlignment="0" applyProtection="0">
      <alignment vertical="center"/>
    </xf>
    <xf numFmtId="0" fontId="19" fillId="0" borderId="17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27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3" fillId="2" borderId="0" xfId="0" applyNumberFormat="1" applyFont="1" applyFill="1" applyBorder="1" applyAlignment="1">
      <alignment horizontal="center" vertical="center" wrapText="1"/>
    </xf>
    <xf numFmtId="0" fontId="4" fillId="0" borderId="0" xfId="0" applyNumberFormat="1" applyFont="1" applyFill="1" applyBorder="1" applyAlignment="1">
      <alignment vertical="top"/>
    </xf>
    <xf numFmtId="0" fontId="4" fillId="0" borderId="0" xfId="0" applyNumberFormat="1" applyFont="1" applyFill="1" applyBorder="1" applyAlignment="1">
      <alignment vertical="top" wrapText="1"/>
    </xf>
    <xf numFmtId="1" fontId="4" fillId="0" borderId="0" xfId="0" applyNumberFormat="1" applyFont="1" applyFill="1" applyBorder="1" applyAlignment="1">
      <alignment vertical="top"/>
    </xf>
    <xf numFmtId="178" fontId="4" fillId="0" borderId="0" xfId="0" applyNumberFormat="1" applyFont="1" applyFill="1" applyBorder="1" applyAlignment="1">
      <alignment vertical="top"/>
    </xf>
    <xf numFmtId="1" fontId="0" fillId="0" borderId="0" xfId="0" applyNumberFormat="1" applyFont="1" applyFill="1" applyBorder="1"/>
    <xf numFmtId="178" fontId="0" fillId="0" borderId="0" xfId="0" applyNumberFormat="1" applyFont="1" applyFill="1" applyBorder="1"/>
    <xf numFmtId="0" fontId="4" fillId="0" borderId="0" xfId="0" applyNumberFormat="1" applyFont="1" applyFill="1" applyBorder="1"/>
    <xf numFmtId="0" fontId="3" fillId="2" borderId="1" xfId="0" applyNumberFormat="1" applyFont="1" applyFill="1" applyBorder="1" applyAlignment="1">
      <alignment horizontal="center" vertical="center" wrapText="1"/>
    </xf>
    <xf numFmtId="0" fontId="3" fillId="2" borderId="2" xfId="0" applyNumberFormat="1" applyFont="1" applyFill="1" applyBorder="1" applyAlignment="1">
      <alignment horizontal="center" vertical="center" wrapText="1"/>
    </xf>
    <xf numFmtId="0" fontId="3" fillId="2" borderId="3" xfId="0" applyNumberFormat="1" applyFont="1" applyFill="1" applyBorder="1" applyAlignment="1">
      <alignment horizontal="center" vertical="center" wrapText="1"/>
    </xf>
    <xf numFmtId="0" fontId="4" fillId="0" borderId="4" xfId="0" applyNumberFormat="1" applyFont="1" applyFill="1" applyBorder="1" applyAlignment="1">
      <alignment vertical="top"/>
    </xf>
    <xf numFmtId="0" fontId="4" fillId="0" borderId="5" xfId="0" applyNumberFormat="1" applyFont="1" applyFill="1" applyBorder="1" applyAlignment="1">
      <alignment vertical="top"/>
    </xf>
    <xf numFmtId="0" fontId="4" fillId="0" borderId="5" xfId="0" applyNumberFormat="1" applyFont="1" applyFill="1" applyBorder="1" applyAlignment="1">
      <alignment vertical="top" wrapText="1"/>
    </xf>
    <xf numFmtId="1" fontId="4" fillId="0" borderId="5" xfId="0" applyNumberFormat="1" applyFont="1" applyFill="1" applyBorder="1" applyAlignment="1">
      <alignment vertical="top" wrapText="1"/>
    </xf>
    <xf numFmtId="3" fontId="4" fillId="0" borderId="5" xfId="0" applyNumberFormat="1" applyFont="1" applyFill="1" applyBorder="1" applyAlignment="1">
      <alignment vertical="top" wrapText="1"/>
    </xf>
    <xf numFmtId="178" fontId="4" fillId="0" borderId="6" xfId="0" applyNumberFormat="1" applyFont="1" applyFill="1" applyBorder="1" applyAlignment="1">
      <alignment vertical="top"/>
    </xf>
    <xf numFmtId="0" fontId="4" fillId="0" borderId="7" xfId="0" applyNumberFormat="1" applyFont="1" applyFill="1" applyBorder="1" applyAlignment="1">
      <alignment vertical="top"/>
    </xf>
    <xf numFmtId="0" fontId="4" fillId="0" borderId="8" xfId="0" applyNumberFormat="1" applyFont="1" applyFill="1" applyBorder="1" applyAlignment="1">
      <alignment vertical="top"/>
    </xf>
    <xf numFmtId="0" fontId="4" fillId="0" borderId="8" xfId="0" applyNumberFormat="1" applyFont="1" applyFill="1" applyBorder="1" applyAlignment="1">
      <alignment vertical="top" wrapText="1"/>
    </xf>
    <xf numFmtId="1" fontId="4" fillId="0" borderId="8" xfId="0" applyNumberFormat="1" applyFont="1" applyFill="1" applyBorder="1" applyAlignment="1">
      <alignment vertical="top" wrapText="1"/>
    </xf>
    <xf numFmtId="3" fontId="4" fillId="0" borderId="8" xfId="0" applyNumberFormat="1" applyFont="1" applyFill="1" applyBorder="1" applyAlignment="1">
      <alignment vertical="top" wrapText="1"/>
    </xf>
    <xf numFmtId="178" fontId="4" fillId="0" borderId="9" xfId="0" applyNumberFormat="1" applyFont="1" applyFill="1" applyBorder="1" applyAlignment="1">
      <alignment vertical="top"/>
    </xf>
    <xf numFmtId="3" fontId="0" fillId="0" borderId="0" xfId="0" applyNumberFormat="1" applyFont="1" applyFill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3">
    <dxf>
      <font>
        <color rgb="FF375623"/>
      </font>
      <fill>
        <patternFill patternType="solid">
          <bgColor rgb="FFE2F0D9"/>
        </patternFill>
      </fill>
    </dxf>
    <dxf>
      <font>
        <color rgb="FFC00000"/>
      </font>
      <fill>
        <patternFill patternType="solid">
          <bgColor rgb="FFFCE4D6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 val="1"/>
        <color rgb="FF375623"/>
      </font>
      <fill>
        <patternFill patternType="solid">
          <bgColor rgb="FFE2F0D9"/>
        </patternFill>
      </fill>
    </dxf>
    <dxf>
      <font>
        <b val="1"/>
        <color rgb="FF7F6000"/>
      </font>
      <fill>
        <patternFill patternType="solid">
          <bgColor rgb="FFFFF2CC"/>
        </patternFill>
      </fill>
    </dxf>
    <dxf>
      <font>
        <b val="1"/>
        <color rgb="FFC00000"/>
      </font>
      <fill>
        <patternFill patternType="solid">
          <bgColor rgb="FFFCE4D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 xr9:uid="{267968C8-6FFD-4C36-ACC1-9EA1FD1885CA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LiteratureMatrixTable" displayName="LiteratureMatrixTable" ref="A5:AK10" totalsRowShown="0">
  <autoFilter xmlns:etc="http://www.wps.cn/officeDocument/2017/etCustomData" ref="A5:AK10" etc:filterBottomFollowUsedRange="0"/>
  <tableColumns count="37">
    <tableColumn id="1" name="Study ID"/>
    <tableColumn id="2" name="Screening Status"/>
    <tableColumn id="3" name="Evidence Stream"/>
    <tableColumn id="4" name="Full Citation"/>
    <tableColumn id="5" name="DOI or URL"/>
    <tableColumn id="6" name="Year"/>
    <tableColumn id="7" name="Venue"/>
    <tableColumn id="8" name="Peer Reviewed"/>
    <tableColumn id="9" name="Study Type"/>
    <tableColumn id="10" name="Application Domain"/>
    <tableColumn id="11" name="Research Objective"/>
    <tableColumn id="12" name="Dataset or Corpus"/>
    <tableColumn id="13" name="Corpus Size"/>
    <tableColumn id="14" name="Language"/>
    <tableColumn id="15" name="Modality"/>
    <tableColumn id="16" name="Retrieval Method"/>
    <tableColumn id="17" name="Embedding Model"/>
    <tableColumn id="18" name="Chunking Strategy"/>
    <tableColumn id="19" name="Reranking Method"/>
    <tableColumn id="20" name="Generator Model"/>
    <tableColumn id="21" name="Table Processing"/>
    <tableColumn id="22" name="Cross-Lingual Method"/>
    <tableColumn id="23" name="Citation Mechanism"/>
    <tableColumn id="24" name="Abstention Method"/>
    <tableColumn id="25" name="Baseline Systems"/>
    <tableColumn id="26" name="Retrieval Metrics"/>
    <tableColumn id="27" name="Generation Metrics"/>
    <tableColumn id="28" name="Human Evaluation"/>
    <tableColumn id="29" name="Statistical Tests"/>
    <tableColumn id="30" name="Main Findings"/>
    <tableColumn id="31" name="Reported Limitations"/>
    <tableColumn id="32" name="Reported Research Gaps"/>
    <tableColumn id="33" name="Code Available"/>
    <tableColumn id="34" name="Data Available"/>
    <tableColumn id="35" name="Relevance to CyberRAG-Bench"/>
    <tableColumn id="36" name="Review Notes"/>
    <tableColumn id="37" name="Last Update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QualityAppraisalTable" displayName="QualityAppraisalTable" ref="A5:Q10" totalsRowShown="0">
  <autoFilter xmlns:etc="http://www.wps.cn/officeDocument/2017/etCustomData" ref="A5:Q10" etc:filterBottomFollowUsedRange="0"/>
  <tableColumns count="17">
    <tableColumn id="1" name="Study ID"/>
    <tableColumn id="2" name="Study Citation"/>
    <tableColumn id="3" name="Clear Objective"/>
    <tableColumn id="4" name="Dataset Description"/>
    <tableColumn id="5" name="Reproducible Method"/>
    <tableColumn id="6" name="Baseline Comparison"/>
    <tableColumn id="7" name="Suitable Metrics"/>
    <tableColumn id="8" name="Human Evaluation"/>
    <tableColumn id="9" name="Statistical Analysis"/>
    <tableColumn id="10" name="Error Analysis"/>
    <tableColumn id="11" name="Code or Data"/>
    <tableColumn id="12" name="Limitations Reported"/>
    <tableColumn id="13" name="Total Score"/>
    <tableColumn id="14" name="Quality Level"/>
    <tableColumn id="15" name="Reviewer"/>
    <tableColumn id="16" name="Assessment Date"/>
    <tableColumn id="17" name="Quality 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4E78"/>
  </sheetPr>
  <dimension ref="A2:AK500"/>
  <sheetViews>
    <sheetView showGridLines="0" tabSelected="1" workbookViewId="0">
      <pane xSplit="4" ySplit="5" topLeftCell="E6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4"/>
  <cols>
    <col min="1" max="1" width="12" customWidth="1"/>
    <col min="2" max="2" width="24" customWidth="1"/>
    <col min="3" max="3" width="28" customWidth="1"/>
    <col min="4" max="4" width="52" customWidth="1"/>
    <col min="5" max="5" width="36" customWidth="1"/>
    <col min="6" max="6" width="10" customWidth="1"/>
    <col min="7" max="7" width="26" customWidth="1"/>
    <col min="8" max="8" width="15" customWidth="1"/>
    <col min="9" max="9" width="21" customWidth="1"/>
    <col min="10" max="10" width="29" customWidth="1"/>
    <col min="11" max="11" width="45" customWidth="1"/>
    <col min="12" max="12" width="30" customWidth="1"/>
    <col min="13" max="13" width="13" customWidth="1"/>
    <col min="14" max="15" width="15" customWidth="1"/>
    <col min="16" max="24" width="25" customWidth="1"/>
    <col min="25" max="29" width="24" customWidth="1"/>
    <col min="30" max="32" width="44" customWidth="1"/>
    <col min="33" max="34" width="15" customWidth="1"/>
    <col min="35" max="35" width="24" customWidth="1"/>
    <col min="36" max="36" width="36" customWidth="1"/>
    <col min="37" max="37" width="14" customWidth="1"/>
  </cols>
  <sheetData>
    <row r="2" ht="18" spans="1:37">
      <c r="A2" s="1" t="s">
        <v>0</v>
      </c>
    </row>
    <row r="3" spans="1:37">
      <c r="A3" s="2" t="s">
        <v>1</v>
      </c>
    </row>
    <row r="4" spans="1:37">
      <c r="A4" s="10" t="s">
        <v>2</v>
      </c>
    </row>
    <row r="5" ht="46" customHeight="1" spans="1:37">
      <c r="A5" s="11" t="s">
        <v>3</v>
      </c>
      <c r="B5" s="12" t="s">
        <v>4</v>
      </c>
      <c r="C5" s="12" t="s">
        <v>5</v>
      </c>
      <c r="D5" s="12" t="s">
        <v>6</v>
      </c>
      <c r="E5" s="12" t="s">
        <v>7</v>
      </c>
      <c r="F5" s="12" t="s">
        <v>8</v>
      </c>
      <c r="G5" s="12" t="s">
        <v>9</v>
      </c>
      <c r="H5" s="12" t="s">
        <v>10</v>
      </c>
      <c r="I5" s="12" t="s">
        <v>11</v>
      </c>
      <c r="J5" s="12" t="s">
        <v>12</v>
      </c>
      <c r="K5" s="12" t="s">
        <v>13</v>
      </c>
      <c r="L5" s="12" t="s">
        <v>14</v>
      </c>
      <c r="M5" s="12" t="s">
        <v>15</v>
      </c>
      <c r="N5" s="12" t="s">
        <v>16</v>
      </c>
      <c r="O5" s="12" t="s">
        <v>17</v>
      </c>
      <c r="P5" s="12" t="s">
        <v>18</v>
      </c>
      <c r="Q5" s="12" t="s">
        <v>19</v>
      </c>
      <c r="R5" s="12" t="s">
        <v>20</v>
      </c>
      <c r="S5" s="12" t="s">
        <v>21</v>
      </c>
      <c r="T5" s="12" t="s">
        <v>22</v>
      </c>
      <c r="U5" s="12" t="s">
        <v>23</v>
      </c>
      <c r="V5" s="12" t="s">
        <v>24</v>
      </c>
      <c r="W5" s="12" t="s">
        <v>25</v>
      </c>
      <c r="X5" s="12" t="s">
        <v>26</v>
      </c>
      <c r="Y5" s="12" t="s">
        <v>27</v>
      </c>
      <c r="Z5" s="12" t="s">
        <v>28</v>
      </c>
      <c r="AA5" s="12" t="s">
        <v>29</v>
      </c>
      <c r="AB5" s="12" t="s">
        <v>30</v>
      </c>
      <c r="AC5" s="12" t="s">
        <v>31</v>
      </c>
      <c r="AD5" s="12" t="s">
        <v>32</v>
      </c>
      <c r="AE5" s="12" t="s">
        <v>33</v>
      </c>
      <c r="AF5" s="12" t="s">
        <v>34</v>
      </c>
      <c r="AG5" s="12" t="s">
        <v>35</v>
      </c>
      <c r="AH5" s="12" t="s">
        <v>36</v>
      </c>
      <c r="AI5" s="12" t="s">
        <v>37</v>
      </c>
      <c r="AJ5" s="12" t="s">
        <v>38</v>
      </c>
      <c r="AK5" s="13" t="s">
        <v>39</v>
      </c>
    </row>
    <row r="6" ht="66" customHeight="1" spans="1:37">
      <c r="A6" s="14" t="s">
        <v>40</v>
      </c>
      <c r="B6" s="15" t="s">
        <v>41</v>
      </c>
      <c r="C6" s="15" t="s">
        <v>42</v>
      </c>
      <c r="D6" s="16" t="s">
        <v>43</v>
      </c>
      <c r="E6" s="16" t="s">
        <v>44</v>
      </c>
      <c r="F6" s="17">
        <v>2020</v>
      </c>
      <c r="G6" s="16" t="s">
        <v>45</v>
      </c>
      <c r="H6" s="16" t="s">
        <v>46</v>
      </c>
      <c r="I6" s="16" t="s">
        <v>47</v>
      </c>
      <c r="J6" s="16" t="s">
        <v>48</v>
      </c>
      <c r="K6" s="16" t="s">
        <v>49</v>
      </c>
      <c r="L6" s="16" t="s">
        <v>50</v>
      </c>
      <c r="M6" s="18" t="s">
        <v>50</v>
      </c>
      <c r="N6" s="16" t="s">
        <v>50</v>
      </c>
      <c r="O6" s="16" t="s">
        <v>50</v>
      </c>
      <c r="P6" s="16" t="s">
        <v>50</v>
      </c>
      <c r="Q6" s="16" t="s">
        <v>50</v>
      </c>
      <c r="R6" s="16" t="s">
        <v>50</v>
      </c>
      <c r="S6" s="16" t="s">
        <v>50</v>
      </c>
      <c r="T6" s="16" t="s">
        <v>50</v>
      </c>
      <c r="U6" s="16" t="s">
        <v>50</v>
      </c>
      <c r="V6" s="16" t="s">
        <v>50</v>
      </c>
      <c r="W6" s="16" t="s">
        <v>50</v>
      </c>
      <c r="X6" s="16" t="s">
        <v>50</v>
      </c>
      <c r="Y6" s="16" t="s">
        <v>50</v>
      </c>
      <c r="Z6" s="16" t="s">
        <v>50</v>
      </c>
      <c r="AA6" s="16" t="s">
        <v>50</v>
      </c>
      <c r="AB6" s="16" t="s">
        <v>50</v>
      </c>
      <c r="AC6" s="16" t="s">
        <v>50</v>
      </c>
      <c r="AD6" s="16" t="s">
        <v>51</v>
      </c>
      <c r="AE6" s="16" t="s">
        <v>50</v>
      </c>
      <c r="AF6" s="16" t="s">
        <v>50</v>
      </c>
      <c r="AG6" s="16" t="s">
        <v>50</v>
      </c>
      <c r="AH6" s="16" t="s">
        <v>50</v>
      </c>
      <c r="AI6" s="16" t="s">
        <v>52</v>
      </c>
      <c r="AJ6" s="16" t="s">
        <v>53</v>
      </c>
      <c r="AK6" s="19">
        <v>46295</v>
      </c>
    </row>
    <row r="7" ht="66" customHeight="1" spans="1:37">
      <c r="A7" s="14" t="s">
        <v>54</v>
      </c>
      <c r="B7" s="15" t="s">
        <v>41</v>
      </c>
      <c r="C7" s="15" t="s">
        <v>42</v>
      </c>
      <c r="D7" s="16" t="s">
        <v>55</v>
      </c>
      <c r="E7" s="16" t="s">
        <v>56</v>
      </c>
      <c r="F7" s="17">
        <v>2024</v>
      </c>
      <c r="G7" s="16" t="s">
        <v>57</v>
      </c>
      <c r="H7" s="16" t="s">
        <v>46</v>
      </c>
      <c r="I7" s="16" t="s">
        <v>58</v>
      </c>
      <c r="J7" s="16" t="s">
        <v>59</v>
      </c>
      <c r="K7" s="16" t="s">
        <v>60</v>
      </c>
      <c r="L7" s="16" t="s">
        <v>50</v>
      </c>
      <c r="M7" s="18" t="s">
        <v>50</v>
      </c>
      <c r="N7" s="16" t="s">
        <v>50</v>
      </c>
      <c r="O7" s="16" t="s">
        <v>50</v>
      </c>
      <c r="P7" s="16" t="s">
        <v>50</v>
      </c>
      <c r="Q7" s="16" t="s">
        <v>50</v>
      </c>
      <c r="R7" s="16" t="s">
        <v>50</v>
      </c>
      <c r="S7" s="16" t="s">
        <v>50</v>
      </c>
      <c r="T7" s="16" t="s">
        <v>50</v>
      </c>
      <c r="U7" s="16" t="s">
        <v>50</v>
      </c>
      <c r="V7" s="16" t="s">
        <v>50</v>
      </c>
      <c r="W7" s="16" t="s">
        <v>50</v>
      </c>
      <c r="X7" s="16" t="s">
        <v>50</v>
      </c>
      <c r="Y7" s="16" t="s">
        <v>50</v>
      </c>
      <c r="Z7" s="16" t="s">
        <v>50</v>
      </c>
      <c r="AA7" s="16" t="s">
        <v>50</v>
      </c>
      <c r="AB7" s="16" t="s">
        <v>50</v>
      </c>
      <c r="AC7" s="16" t="s">
        <v>50</v>
      </c>
      <c r="AD7" s="16" t="s">
        <v>61</v>
      </c>
      <c r="AE7" s="16" t="s">
        <v>50</v>
      </c>
      <c r="AF7" s="16" t="s">
        <v>50</v>
      </c>
      <c r="AG7" s="16" t="s">
        <v>46</v>
      </c>
      <c r="AH7" s="16" t="s">
        <v>50</v>
      </c>
      <c r="AI7" s="16" t="s">
        <v>52</v>
      </c>
      <c r="AJ7" s="16" t="s">
        <v>62</v>
      </c>
      <c r="AK7" s="19">
        <v>46295</v>
      </c>
    </row>
    <row r="8" ht="66" customHeight="1" spans="1:37">
      <c r="A8" s="14" t="s">
        <v>63</v>
      </c>
      <c r="B8" s="15" t="s">
        <v>41</v>
      </c>
      <c r="C8" s="15" t="s">
        <v>64</v>
      </c>
      <c r="D8" s="16" t="s">
        <v>65</v>
      </c>
      <c r="E8" s="16" t="s">
        <v>66</v>
      </c>
      <c r="F8" s="17">
        <v>2024</v>
      </c>
      <c r="G8" s="16" t="s">
        <v>67</v>
      </c>
      <c r="H8" s="16" t="s">
        <v>46</v>
      </c>
      <c r="I8" s="16" t="s">
        <v>58</v>
      </c>
      <c r="J8" s="16" t="s">
        <v>68</v>
      </c>
      <c r="K8" s="16" t="s">
        <v>69</v>
      </c>
      <c r="L8" s="16" t="s">
        <v>50</v>
      </c>
      <c r="M8" s="18" t="s">
        <v>50</v>
      </c>
      <c r="N8" s="16" t="s">
        <v>50</v>
      </c>
      <c r="O8" s="16" t="s">
        <v>50</v>
      </c>
      <c r="P8" s="16" t="s">
        <v>50</v>
      </c>
      <c r="Q8" s="16" t="s">
        <v>50</v>
      </c>
      <c r="R8" s="16" t="s">
        <v>50</v>
      </c>
      <c r="S8" s="16" t="s">
        <v>50</v>
      </c>
      <c r="T8" s="16" t="s">
        <v>50</v>
      </c>
      <c r="U8" s="16" t="s">
        <v>50</v>
      </c>
      <c r="V8" s="16" t="s">
        <v>50</v>
      </c>
      <c r="W8" s="16" t="s">
        <v>50</v>
      </c>
      <c r="X8" s="16" t="s">
        <v>50</v>
      </c>
      <c r="Y8" s="16" t="s">
        <v>70</v>
      </c>
      <c r="Z8" s="16" t="s">
        <v>50</v>
      </c>
      <c r="AA8" s="16" t="s">
        <v>50</v>
      </c>
      <c r="AB8" s="16" t="s">
        <v>71</v>
      </c>
      <c r="AC8" s="16" t="s">
        <v>50</v>
      </c>
      <c r="AD8" s="16" t="s">
        <v>72</v>
      </c>
      <c r="AE8" s="16" t="s">
        <v>50</v>
      </c>
      <c r="AF8" s="16" t="s">
        <v>50</v>
      </c>
      <c r="AG8" s="16" t="s">
        <v>50</v>
      </c>
      <c r="AH8" s="16" t="s">
        <v>50</v>
      </c>
      <c r="AI8" s="16" t="s">
        <v>52</v>
      </c>
      <c r="AJ8" s="16" t="s">
        <v>73</v>
      </c>
      <c r="AK8" s="19">
        <v>46295</v>
      </c>
    </row>
    <row r="9" ht="66" customHeight="1" spans="1:37">
      <c r="A9" s="14" t="s">
        <v>74</v>
      </c>
      <c r="B9" s="15" t="s">
        <v>41</v>
      </c>
      <c r="C9" s="15" t="s">
        <v>64</v>
      </c>
      <c r="D9" s="16" t="s">
        <v>75</v>
      </c>
      <c r="E9" s="16" t="s">
        <v>76</v>
      </c>
      <c r="F9" s="17">
        <v>2025</v>
      </c>
      <c r="G9" s="16" t="s">
        <v>77</v>
      </c>
      <c r="H9" s="16" t="s">
        <v>46</v>
      </c>
      <c r="I9" s="16" t="s">
        <v>78</v>
      </c>
      <c r="J9" s="16" t="s">
        <v>79</v>
      </c>
      <c r="K9" s="16" t="s">
        <v>80</v>
      </c>
      <c r="L9" s="16" t="s">
        <v>50</v>
      </c>
      <c r="M9" s="18" t="s">
        <v>50</v>
      </c>
      <c r="N9" s="16" t="s">
        <v>50</v>
      </c>
      <c r="O9" s="16" t="s">
        <v>50</v>
      </c>
      <c r="P9" s="16" t="s">
        <v>50</v>
      </c>
      <c r="Q9" s="16" t="s">
        <v>50</v>
      </c>
      <c r="R9" s="16" t="s">
        <v>50</v>
      </c>
      <c r="S9" s="16" t="s">
        <v>50</v>
      </c>
      <c r="T9" s="16" t="s">
        <v>50</v>
      </c>
      <c r="U9" s="16" t="s">
        <v>50</v>
      </c>
      <c r="V9" s="16" t="s">
        <v>50</v>
      </c>
      <c r="W9" s="16" t="s">
        <v>50</v>
      </c>
      <c r="X9" s="16" t="s">
        <v>81</v>
      </c>
      <c r="Y9" s="16" t="s">
        <v>50</v>
      </c>
      <c r="Z9" s="16" t="s">
        <v>50</v>
      </c>
      <c r="AA9" s="16" t="s">
        <v>82</v>
      </c>
      <c r="AB9" s="16" t="s">
        <v>50</v>
      </c>
      <c r="AC9" s="16" t="s">
        <v>50</v>
      </c>
      <c r="AD9" s="16" t="s">
        <v>83</v>
      </c>
      <c r="AE9" s="16" t="s">
        <v>50</v>
      </c>
      <c r="AF9" s="16" t="s">
        <v>50</v>
      </c>
      <c r="AG9" s="16" t="s">
        <v>50</v>
      </c>
      <c r="AH9" s="16" t="s">
        <v>50</v>
      </c>
      <c r="AI9" s="16" t="s">
        <v>52</v>
      </c>
      <c r="AJ9" s="16" t="s">
        <v>84</v>
      </c>
      <c r="AK9" s="19">
        <v>46295</v>
      </c>
    </row>
    <row r="10" ht="66" customHeight="1" spans="1:37">
      <c r="A10" s="20" t="s">
        <v>85</v>
      </c>
      <c r="B10" s="21" t="s">
        <v>41</v>
      </c>
      <c r="C10" s="21" t="s">
        <v>86</v>
      </c>
      <c r="D10" s="22" t="s">
        <v>87</v>
      </c>
      <c r="E10" s="22" t="s">
        <v>88</v>
      </c>
      <c r="F10" s="23">
        <v>2025</v>
      </c>
      <c r="G10" s="22" t="s">
        <v>89</v>
      </c>
      <c r="H10" s="22" t="s">
        <v>46</v>
      </c>
      <c r="I10" s="22" t="s">
        <v>90</v>
      </c>
      <c r="J10" s="22" t="s">
        <v>91</v>
      </c>
      <c r="K10" s="22" t="s">
        <v>92</v>
      </c>
      <c r="L10" s="22" t="s">
        <v>93</v>
      </c>
      <c r="M10" s="24">
        <v>58000</v>
      </c>
      <c r="N10" s="22" t="s">
        <v>50</v>
      </c>
      <c r="O10" s="22" t="s">
        <v>94</v>
      </c>
      <c r="P10" s="22" t="s">
        <v>50</v>
      </c>
      <c r="Q10" s="22" t="s">
        <v>50</v>
      </c>
      <c r="R10" s="22" t="s">
        <v>50</v>
      </c>
      <c r="S10" s="22" t="s">
        <v>50</v>
      </c>
      <c r="T10" s="22" t="s">
        <v>50</v>
      </c>
      <c r="U10" s="22" t="s">
        <v>50</v>
      </c>
      <c r="V10" s="22" t="s">
        <v>50</v>
      </c>
      <c r="W10" s="22" t="s">
        <v>50</v>
      </c>
      <c r="X10" s="22" t="s">
        <v>50</v>
      </c>
      <c r="Y10" s="22" t="s">
        <v>50</v>
      </c>
      <c r="Z10" s="22" t="s">
        <v>50</v>
      </c>
      <c r="AA10" s="22" t="s">
        <v>50</v>
      </c>
      <c r="AB10" s="22" t="s">
        <v>50</v>
      </c>
      <c r="AC10" s="22" t="s">
        <v>50</v>
      </c>
      <c r="AD10" s="22" t="s">
        <v>95</v>
      </c>
      <c r="AE10" s="22" t="s">
        <v>50</v>
      </c>
      <c r="AF10" s="22" t="s">
        <v>50</v>
      </c>
      <c r="AG10" s="22" t="s">
        <v>50</v>
      </c>
      <c r="AH10" s="22" t="s">
        <v>96</v>
      </c>
      <c r="AI10" s="22" t="s">
        <v>52</v>
      </c>
      <c r="AJ10" s="22" t="s">
        <v>97</v>
      </c>
      <c r="AK10" s="25">
        <v>46295</v>
      </c>
    </row>
    <row r="11" spans="1:37">
      <c r="F11" s="8"/>
      <c r="M11" s="26"/>
      <c r="AK11" s="9"/>
    </row>
    <row r="12" spans="1:37">
      <c r="F12" s="8"/>
      <c r="M12" s="26"/>
      <c r="AK12" s="9"/>
    </row>
    <row r="13" spans="1:37">
      <c r="F13" s="8"/>
      <c r="M13" s="26"/>
      <c r="AK13" s="9"/>
    </row>
    <row r="14" spans="1:37">
      <c r="F14" s="8"/>
      <c r="M14" s="26"/>
      <c r="AK14" s="9"/>
    </row>
    <row r="15" spans="1:37">
      <c r="F15" s="8"/>
      <c r="M15" s="26"/>
      <c r="AK15" s="9"/>
    </row>
    <row r="16" spans="1:37">
      <c r="F16" s="8"/>
      <c r="M16" s="26"/>
      <c r="AK16" s="9"/>
    </row>
    <row r="17" spans="6:37">
      <c r="F17" s="8"/>
      <c r="M17" s="26"/>
      <c r="AK17" s="9"/>
    </row>
    <row r="18" spans="6:37">
      <c r="F18" s="8"/>
      <c r="M18" s="26"/>
      <c r="AK18" s="9"/>
    </row>
    <row r="19" spans="6:37">
      <c r="F19" s="8"/>
      <c r="M19" s="26"/>
      <c r="AK19" s="9"/>
    </row>
    <row r="20" spans="6:37">
      <c r="F20" s="8"/>
      <c r="M20" s="26"/>
      <c r="AK20" s="9"/>
    </row>
    <row r="21" spans="6:37">
      <c r="F21" s="8"/>
      <c r="M21" s="26"/>
      <c r="AK21" s="9"/>
    </row>
    <row r="22" spans="6:37">
      <c r="F22" s="8"/>
      <c r="M22" s="26"/>
      <c r="AK22" s="9"/>
    </row>
    <row r="23" spans="6:37">
      <c r="F23" s="8"/>
      <c r="M23" s="26"/>
      <c r="AK23" s="9"/>
    </row>
    <row r="24" spans="6:37">
      <c r="F24" s="8"/>
      <c r="M24" s="26"/>
      <c r="AK24" s="9"/>
    </row>
    <row r="25" spans="6:37">
      <c r="F25" s="8"/>
      <c r="M25" s="26"/>
      <c r="AK25" s="9"/>
    </row>
    <row r="26" spans="6:37">
      <c r="F26" s="8"/>
      <c r="M26" s="26"/>
      <c r="AK26" s="9"/>
    </row>
    <row r="27" spans="6:37">
      <c r="F27" s="8"/>
      <c r="M27" s="26"/>
      <c r="AK27" s="9"/>
    </row>
    <row r="28" spans="6:37">
      <c r="F28" s="8"/>
      <c r="M28" s="26"/>
      <c r="AK28" s="9"/>
    </row>
    <row r="29" spans="6:37">
      <c r="F29" s="8"/>
      <c r="M29" s="26"/>
      <c r="AK29" s="9"/>
    </row>
    <row r="30" spans="6:37">
      <c r="F30" s="8"/>
      <c r="M30" s="26"/>
      <c r="AK30" s="9"/>
    </row>
    <row r="31" spans="6:37">
      <c r="F31" s="8"/>
      <c r="M31" s="26"/>
      <c r="AK31" s="9"/>
    </row>
    <row r="32" spans="6:37">
      <c r="F32" s="8"/>
      <c r="M32" s="26"/>
      <c r="AK32" s="9"/>
    </row>
    <row r="33" spans="6:37">
      <c r="F33" s="8"/>
      <c r="M33" s="26"/>
      <c r="AK33" s="9"/>
    </row>
    <row r="34" spans="6:37">
      <c r="F34" s="8"/>
      <c r="M34" s="26"/>
      <c r="AK34" s="9"/>
    </row>
    <row r="35" spans="6:37">
      <c r="F35" s="8"/>
      <c r="M35" s="26"/>
      <c r="AK35" s="9"/>
    </row>
    <row r="36" spans="6:37">
      <c r="F36" s="8"/>
      <c r="M36" s="26"/>
      <c r="AK36" s="9"/>
    </row>
    <row r="37" spans="6:37">
      <c r="F37" s="8"/>
      <c r="M37" s="26"/>
      <c r="AK37" s="9"/>
    </row>
    <row r="38" spans="6:37">
      <c r="F38" s="8"/>
      <c r="M38" s="26"/>
      <c r="AK38" s="9"/>
    </row>
    <row r="39" spans="6:37">
      <c r="F39" s="8"/>
      <c r="M39" s="26"/>
      <c r="AK39" s="9"/>
    </row>
    <row r="40" spans="6:37">
      <c r="F40" s="8"/>
      <c r="M40" s="26"/>
      <c r="AK40" s="9"/>
    </row>
    <row r="41" spans="6:37">
      <c r="F41" s="8"/>
      <c r="M41" s="26"/>
      <c r="AK41" s="9"/>
    </row>
    <row r="42" spans="6:37">
      <c r="F42" s="8"/>
      <c r="M42" s="26"/>
      <c r="AK42" s="9"/>
    </row>
    <row r="43" spans="6:37">
      <c r="F43" s="8"/>
      <c r="M43" s="26"/>
      <c r="AK43" s="9"/>
    </row>
    <row r="44" spans="6:37">
      <c r="F44" s="8"/>
      <c r="M44" s="26"/>
      <c r="AK44" s="9"/>
    </row>
    <row r="45" spans="6:37">
      <c r="F45" s="8"/>
      <c r="M45" s="26"/>
      <c r="AK45" s="9"/>
    </row>
    <row r="46" spans="6:37">
      <c r="F46" s="8"/>
      <c r="M46" s="26"/>
      <c r="AK46" s="9"/>
    </row>
    <row r="47" spans="6:37">
      <c r="F47" s="8"/>
      <c r="M47" s="26"/>
      <c r="AK47" s="9"/>
    </row>
    <row r="48" spans="6:37">
      <c r="F48" s="8"/>
      <c r="M48" s="26"/>
      <c r="AK48" s="9"/>
    </row>
    <row r="49" spans="6:37">
      <c r="F49" s="8"/>
      <c r="M49" s="26"/>
      <c r="AK49" s="9"/>
    </row>
    <row r="50" spans="6:37">
      <c r="F50" s="8"/>
      <c r="M50" s="26"/>
      <c r="AK50" s="9"/>
    </row>
    <row r="51" spans="6:37">
      <c r="F51" s="8"/>
      <c r="M51" s="26"/>
      <c r="AK51" s="9"/>
    </row>
    <row r="52" spans="6:37">
      <c r="F52" s="8"/>
      <c r="M52" s="26"/>
      <c r="AK52" s="9"/>
    </row>
    <row r="53" spans="6:37">
      <c r="F53" s="8"/>
      <c r="M53" s="26"/>
      <c r="AK53" s="9"/>
    </row>
    <row r="54" spans="6:37">
      <c r="F54" s="8"/>
      <c r="M54" s="26"/>
      <c r="AK54" s="9"/>
    </row>
    <row r="55" spans="6:37">
      <c r="F55" s="8"/>
      <c r="M55" s="26"/>
      <c r="AK55" s="9"/>
    </row>
    <row r="56" spans="6:37">
      <c r="F56" s="8"/>
      <c r="M56" s="26"/>
      <c r="AK56" s="9"/>
    </row>
    <row r="57" spans="6:37">
      <c r="F57" s="8"/>
      <c r="M57" s="26"/>
      <c r="AK57" s="9"/>
    </row>
    <row r="58" spans="6:37">
      <c r="F58" s="8"/>
      <c r="M58" s="26"/>
      <c r="AK58" s="9"/>
    </row>
    <row r="59" spans="6:37">
      <c r="F59" s="8"/>
      <c r="M59" s="26"/>
      <c r="AK59" s="9"/>
    </row>
    <row r="60" spans="6:37">
      <c r="F60" s="8"/>
      <c r="M60" s="26"/>
      <c r="AK60" s="9"/>
    </row>
    <row r="61" spans="6:37">
      <c r="F61" s="8"/>
      <c r="M61" s="26"/>
      <c r="AK61" s="9"/>
    </row>
    <row r="62" spans="6:37">
      <c r="F62" s="8"/>
      <c r="M62" s="26"/>
      <c r="AK62" s="9"/>
    </row>
    <row r="63" spans="6:37">
      <c r="F63" s="8"/>
      <c r="M63" s="26"/>
      <c r="AK63" s="9"/>
    </row>
    <row r="64" spans="6:37">
      <c r="F64" s="8"/>
      <c r="M64" s="26"/>
      <c r="AK64" s="9"/>
    </row>
    <row r="65" spans="6:37">
      <c r="F65" s="8"/>
      <c r="M65" s="26"/>
      <c r="AK65" s="9"/>
    </row>
    <row r="66" spans="6:37">
      <c r="F66" s="8"/>
      <c r="M66" s="26"/>
      <c r="AK66" s="9"/>
    </row>
    <row r="67" spans="6:37">
      <c r="F67" s="8"/>
      <c r="M67" s="26"/>
      <c r="AK67" s="9"/>
    </row>
    <row r="68" spans="6:37">
      <c r="F68" s="8"/>
      <c r="M68" s="26"/>
      <c r="AK68" s="9"/>
    </row>
    <row r="69" spans="6:37">
      <c r="F69" s="8"/>
      <c r="M69" s="26"/>
      <c r="AK69" s="9"/>
    </row>
    <row r="70" spans="6:37">
      <c r="F70" s="8"/>
      <c r="M70" s="26"/>
      <c r="AK70" s="9"/>
    </row>
    <row r="71" spans="6:37">
      <c r="F71" s="8"/>
      <c r="M71" s="26"/>
      <c r="AK71" s="9"/>
    </row>
    <row r="72" spans="6:37">
      <c r="F72" s="8"/>
      <c r="M72" s="26"/>
      <c r="AK72" s="9"/>
    </row>
    <row r="73" spans="6:37">
      <c r="F73" s="8"/>
      <c r="M73" s="26"/>
      <c r="AK73" s="9"/>
    </row>
    <row r="74" spans="6:37">
      <c r="F74" s="8"/>
      <c r="M74" s="26"/>
      <c r="AK74" s="9"/>
    </row>
    <row r="75" spans="6:37">
      <c r="F75" s="8"/>
      <c r="M75" s="26"/>
      <c r="AK75" s="9"/>
    </row>
    <row r="76" spans="6:37">
      <c r="F76" s="8"/>
      <c r="M76" s="26"/>
      <c r="AK76" s="9"/>
    </row>
    <row r="77" spans="6:37">
      <c r="F77" s="8"/>
      <c r="M77" s="26"/>
      <c r="AK77" s="9"/>
    </row>
    <row r="78" spans="6:37">
      <c r="F78" s="8"/>
      <c r="M78" s="26"/>
      <c r="AK78" s="9"/>
    </row>
    <row r="79" spans="6:37">
      <c r="F79" s="8"/>
      <c r="M79" s="26"/>
      <c r="AK79" s="9"/>
    </row>
    <row r="80" spans="6:37">
      <c r="F80" s="8"/>
      <c r="M80" s="26"/>
      <c r="AK80" s="9"/>
    </row>
    <row r="81" spans="6:37">
      <c r="F81" s="8"/>
      <c r="M81" s="26"/>
      <c r="AK81" s="9"/>
    </row>
    <row r="82" spans="6:37">
      <c r="F82" s="8"/>
      <c r="M82" s="26"/>
      <c r="AK82" s="9"/>
    </row>
    <row r="83" spans="6:37">
      <c r="F83" s="8"/>
      <c r="M83" s="26"/>
      <c r="AK83" s="9"/>
    </row>
    <row r="84" spans="6:37">
      <c r="F84" s="8"/>
      <c r="M84" s="26"/>
      <c r="AK84" s="9"/>
    </row>
    <row r="85" spans="6:37">
      <c r="F85" s="8"/>
      <c r="M85" s="26"/>
      <c r="AK85" s="9"/>
    </row>
    <row r="86" spans="6:37">
      <c r="F86" s="8"/>
      <c r="M86" s="26"/>
      <c r="AK86" s="9"/>
    </row>
    <row r="87" spans="6:37">
      <c r="F87" s="8"/>
      <c r="M87" s="26"/>
      <c r="AK87" s="9"/>
    </row>
    <row r="88" spans="6:37">
      <c r="F88" s="8"/>
      <c r="M88" s="26"/>
      <c r="AK88" s="9"/>
    </row>
    <row r="89" spans="6:37">
      <c r="F89" s="8"/>
      <c r="M89" s="26"/>
      <c r="AK89" s="9"/>
    </row>
    <row r="90" spans="6:37">
      <c r="F90" s="8"/>
      <c r="M90" s="26"/>
      <c r="AK90" s="9"/>
    </row>
    <row r="91" spans="6:37">
      <c r="F91" s="8"/>
      <c r="M91" s="26"/>
      <c r="AK91" s="9"/>
    </row>
    <row r="92" spans="6:37">
      <c r="F92" s="8"/>
      <c r="M92" s="26"/>
      <c r="AK92" s="9"/>
    </row>
    <row r="93" spans="6:37">
      <c r="F93" s="8"/>
      <c r="M93" s="26"/>
      <c r="AK93" s="9"/>
    </row>
    <row r="94" spans="6:37">
      <c r="F94" s="8"/>
      <c r="M94" s="26"/>
      <c r="AK94" s="9"/>
    </row>
    <row r="95" spans="6:37">
      <c r="F95" s="8"/>
      <c r="M95" s="26"/>
      <c r="AK95" s="9"/>
    </row>
    <row r="96" spans="6:37">
      <c r="F96" s="8"/>
      <c r="M96" s="26"/>
      <c r="AK96" s="9"/>
    </row>
    <row r="97" spans="6:37">
      <c r="F97" s="8"/>
      <c r="M97" s="26"/>
      <c r="AK97" s="9"/>
    </row>
    <row r="98" spans="6:37">
      <c r="F98" s="8"/>
      <c r="M98" s="26"/>
      <c r="AK98" s="9"/>
    </row>
    <row r="99" spans="6:37">
      <c r="F99" s="8"/>
      <c r="M99" s="26"/>
      <c r="AK99" s="9"/>
    </row>
    <row r="100" spans="6:37">
      <c r="F100" s="8"/>
      <c r="M100" s="26"/>
      <c r="AK100" s="9"/>
    </row>
    <row r="101" spans="6:37">
      <c r="F101" s="8"/>
      <c r="M101" s="26"/>
      <c r="AK101" s="9"/>
    </row>
    <row r="102" spans="6:37">
      <c r="F102" s="8"/>
      <c r="M102" s="26"/>
      <c r="AK102" s="9"/>
    </row>
    <row r="103" spans="6:37">
      <c r="F103" s="8"/>
      <c r="M103" s="26"/>
      <c r="AK103" s="9"/>
    </row>
    <row r="104" spans="6:37">
      <c r="F104" s="8"/>
      <c r="M104" s="26"/>
      <c r="AK104" s="9"/>
    </row>
    <row r="105" spans="6:37">
      <c r="F105" s="8"/>
      <c r="M105" s="26"/>
      <c r="AK105" s="9"/>
    </row>
    <row r="106" spans="6:37">
      <c r="F106" s="8"/>
      <c r="M106" s="26"/>
      <c r="AK106" s="9"/>
    </row>
    <row r="107" spans="6:37">
      <c r="F107" s="8"/>
      <c r="M107" s="26"/>
      <c r="AK107" s="9"/>
    </row>
    <row r="108" spans="6:37">
      <c r="F108" s="8"/>
      <c r="M108" s="26"/>
      <c r="AK108" s="9"/>
    </row>
    <row r="109" spans="6:37">
      <c r="F109" s="8"/>
      <c r="M109" s="26"/>
      <c r="AK109" s="9"/>
    </row>
    <row r="110" spans="6:37">
      <c r="F110" s="8"/>
      <c r="M110" s="26"/>
      <c r="AK110" s="9"/>
    </row>
    <row r="111" spans="6:37">
      <c r="F111" s="8"/>
      <c r="M111" s="26"/>
      <c r="AK111" s="9"/>
    </row>
    <row r="112" spans="6:37">
      <c r="F112" s="8"/>
      <c r="M112" s="26"/>
      <c r="AK112" s="9"/>
    </row>
    <row r="113" spans="6:37">
      <c r="F113" s="8"/>
      <c r="M113" s="26"/>
      <c r="AK113" s="9"/>
    </row>
    <row r="114" spans="6:37">
      <c r="F114" s="8"/>
      <c r="M114" s="26"/>
      <c r="AK114" s="9"/>
    </row>
    <row r="115" spans="6:37">
      <c r="F115" s="8"/>
      <c r="M115" s="26"/>
      <c r="AK115" s="9"/>
    </row>
    <row r="116" spans="6:37">
      <c r="F116" s="8"/>
      <c r="M116" s="26"/>
      <c r="AK116" s="9"/>
    </row>
    <row r="117" spans="6:37">
      <c r="F117" s="8"/>
      <c r="M117" s="26"/>
      <c r="AK117" s="9"/>
    </row>
    <row r="118" spans="6:37">
      <c r="F118" s="8"/>
      <c r="M118" s="26"/>
      <c r="AK118" s="9"/>
    </row>
    <row r="119" spans="6:37">
      <c r="F119" s="8"/>
      <c r="M119" s="26"/>
      <c r="AK119" s="9"/>
    </row>
    <row r="120" spans="6:37">
      <c r="F120" s="8"/>
      <c r="M120" s="26"/>
      <c r="AK120" s="9"/>
    </row>
    <row r="121" spans="6:37">
      <c r="F121" s="8"/>
      <c r="M121" s="26"/>
      <c r="AK121" s="9"/>
    </row>
    <row r="122" spans="6:37">
      <c r="F122" s="8"/>
      <c r="M122" s="26"/>
      <c r="AK122" s="9"/>
    </row>
    <row r="123" spans="6:37">
      <c r="F123" s="8"/>
      <c r="M123" s="26"/>
      <c r="AK123" s="9"/>
    </row>
    <row r="124" spans="6:37">
      <c r="F124" s="8"/>
      <c r="M124" s="26"/>
      <c r="AK124" s="9"/>
    </row>
    <row r="125" spans="6:37">
      <c r="F125" s="8"/>
      <c r="M125" s="26"/>
      <c r="AK125" s="9"/>
    </row>
    <row r="126" spans="6:37">
      <c r="F126" s="8"/>
      <c r="M126" s="26"/>
      <c r="AK126" s="9"/>
    </row>
    <row r="127" spans="6:37">
      <c r="F127" s="8"/>
      <c r="M127" s="26"/>
      <c r="AK127" s="9"/>
    </row>
    <row r="128" spans="6:37">
      <c r="F128" s="8"/>
      <c r="M128" s="26"/>
      <c r="AK128" s="9"/>
    </row>
    <row r="129" spans="6:37">
      <c r="F129" s="8"/>
      <c r="M129" s="26"/>
      <c r="AK129" s="9"/>
    </row>
    <row r="130" spans="6:37">
      <c r="F130" s="8"/>
      <c r="M130" s="26"/>
      <c r="AK130" s="9"/>
    </row>
    <row r="131" spans="6:37">
      <c r="F131" s="8"/>
      <c r="M131" s="26"/>
      <c r="AK131" s="9"/>
    </row>
    <row r="132" spans="6:37">
      <c r="F132" s="8"/>
      <c r="M132" s="26"/>
      <c r="AK132" s="9"/>
    </row>
    <row r="133" spans="6:37">
      <c r="F133" s="8"/>
      <c r="M133" s="26"/>
      <c r="AK133" s="9"/>
    </row>
    <row r="134" spans="6:37">
      <c r="F134" s="8"/>
      <c r="M134" s="26"/>
      <c r="AK134" s="9"/>
    </row>
    <row r="135" spans="6:37">
      <c r="F135" s="8"/>
      <c r="M135" s="26"/>
      <c r="AK135" s="9"/>
    </row>
    <row r="136" spans="6:37">
      <c r="F136" s="8"/>
      <c r="M136" s="26"/>
      <c r="AK136" s="9"/>
    </row>
    <row r="137" spans="6:37">
      <c r="F137" s="8"/>
      <c r="M137" s="26"/>
      <c r="AK137" s="9"/>
    </row>
    <row r="138" spans="6:37">
      <c r="F138" s="8"/>
      <c r="M138" s="26"/>
      <c r="AK138" s="9"/>
    </row>
    <row r="139" spans="6:37">
      <c r="F139" s="8"/>
      <c r="M139" s="26"/>
      <c r="AK139" s="9"/>
    </row>
    <row r="140" spans="6:37">
      <c r="F140" s="8"/>
      <c r="M140" s="26"/>
      <c r="AK140" s="9"/>
    </row>
    <row r="141" spans="6:37">
      <c r="F141" s="8"/>
      <c r="M141" s="26"/>
      <c r="AK141" s="9"/>
    </row>
    <row r="142" spans="6:37">
      <c r="F142" s="8"/>
      <c r="M142" s="26"/>
      <c r="AK142" s="9"/>
    </row>
    <row r="143" spans="6:37">
      <c r="F143" s="8"/>
      <c r="M143" s="26"/>
      <c r="AK143" s="9"/>
    </row>
    <row r="144" spans="6:37">
      <c r="F144" s="8"/>
      <c r="M144" s="26"/>
      <c r="AK144" s="9"/>
    </row>
    <row r="145" spans="6:37">
      <c r="F145" s="8"/>
      <c r="M145" s="26"/>
      <c r="AK145" s="9"/>
    </row>
    <row r="146" spans="6:37">
      <c r="F146" s="8"/>
      <c r="M146" s="26"/>
      <c r="AK146" s="9"/>
    </row>
    <row r="147" spans="6:37">
      <c r="F147" s="8"/>
      <c r="M147" s="26"/>
      <c r="AK147" s="9"/>
    </row>
    <row r="148" spans="6:37">
      <c r="F148" s="8"/>
      <c r="M148" s="26"/>
      <c r="AK148" s="9"/>
    </row>
    <row r="149" spans="6:37">
      <c r="F149" s="8"/>
      <c r="M149" s="26"/>
      <c r="AK149" s="9"/>
    </row>
    <row r="150" spans="6:37">
      <c r="F150" s="8"/>
      <c r="M150" s="26"/>
      <c r="AK150" s="9"/>
    </row>
    <row r="151" spans="6:37">
      <c r="F151" s="8"/>
      <c r="M151" s="26"/>
      <c r="AK151" s="9"/>
    </row>
    <row r="152" spans="6:37">
      <c r="F152" s="8"/>
      <c r="M152" s="26"/>
      <c r="AK152" s="9"/>
    </row>
    <row r="153" spans="6:37">
      <c r="F153" s="8"/>
      <c r="M153" s="26"/>
      <c r="AK153" s="9"/>
    </row>
    <row r="154" spans="6:37">
      <c r="F154" s="8"/>
      <c r="M154" s="26"/>
      <c r="AK154" s="9"/>
    </row>
    <row r="155" spans="6:37">
      <c r="F155" s="8"/>
      <c r="M155" s="26"/>
      <c r="AK155" s="9"/>
    </row>
    <row r="156" spans="6:37">
      <c r="F156" s="8"/>
      <c r="M156" s="26"/>
      <c r="AK156" s="9"/>
    </row>
    <row r="157" spans="6:37">
      <c r="F157" s="8"/>
      <c r="M157" s="26"/>
      <c r="AK157" s="9"/>
    </row>
    <row r="158" spans="6:37">
      <c r="F158" s="8"/>
      <c r="M158" s="26"/>
      <c r="AK158" s="9"/>
    </row>
    <row r="159" spans="6:37">
      <c r="F159" s="8"/>
      <c r="M159" s="26"/>
      <c r="AK159" s="9"/>
    </row>
    <row r="160" spans="6:37">
      <c r="F160" s="8"/>
      <c r="M160" s="26"/>
      <c r="AK160" s="9"/>
    </row>
    <row r="161" spans="6:37">
      <c r="F161" s="8"/>
      <c r="M161" s="26"/>
      <c r="AK161" s="9"/>
    </row>
    <row r="162" spans="6:37">
      <c r="F162" s="8"/>
      <c r="M162" s="26"/>
      <c r="AK162" s="9"/>
    </row>
    <row r="163" spans="6:37">
      <c r="F163" s="8"/>
      <c r="M163" s="26"/>
      <c r="AK163" s="9"/>
    </row>
    <row r="164" spans="6:37">
      <c r="F164" s="8"/>
      <c r="M164" s="26"/>
      <c r="AK164" s="9"/>
    </row>
    <row r="165" spans="6:37">
      <c r="F165" s="8"/>
      <c r="M165" s="26"/>
      <c r="AK165" s="9"/>
    </row>
    <row r="166" spans="6:37">
      <c r="F166" s="8"/>
      <c r="M166" s="26"/>
      <c r="AK166" s="9"/>
    </row>
    <row r="167" spans="6:37">
      <c r="F167" s="8"/>
      <c r="M167" s="26"/>
      <c r="AK167" s="9"/>
    </row>
    <row r="168" spans="6:37">
      <c r="F168" s="8"/>
      <c r="M168" s="26"/>
      <c r="AK168" s="9"/>
    </row>
    <row r="169" spans="6:37">
      <c r="F169" s="8"/>
      <c r="M169" s="26"/>
      <c r="AK169" s="9"/>
    </row>
    <row r="170" spans="6:37">
      <c r="F170" s="8"/>
      <c r="M170" s="26"/>
      <c r="AK170" s="9"/>
    </row>
    <row r="171" spans="6:37">
      <c r="F171" s="8"/>
      <c r="M171" s="26"/>
      <c r="AK171" s="9"/>
    </row>
    <row r="172" spans="6:37">
      <c r="F172" s="8"/>
      <c r="M172" s="26"/>
      <c r="AK172" s="9"/>
    </row>
    <row r="173" spans="6:37">
      <c r="F173" s="8"/>
      <c r="M173" s="26"/>
      <c r="AK173" s="9"/>
    </row>
    <row r="174" spans="6:37">
      <c r="F174" s="8"/>
      <c r="M174" s="26"/>
      <c r="AK174" s="9"/>
    </row>
    <row r="175" spans="6:37">
      <c r="F175" s="8"/>
      <c r="M175" s="26"/>
      <c r="AK175" s="9"/>
    </row>
    <row r="176" spans="6:37">
      <c r="F176" s="8"/>
      <c r="M176" s="26"/>
      <c r="AK176" s="9"/>
    </row>
    <row r="177" spans="6:37">
      <c r="F177" s="8"/>
      <c r="M177" s="26"/>
      <c r="AK177" s="9"/>
    </row>
    <row r="178" spans="6:37">
      <c r="F178" s="8"/>
      <c r="M178" s="26"/>
      <c r="AK178" s="9"/>
    </row>
    <row r="179" spans="6:37">
      <c r="F179" s="8"/>
      <c r="M179" s="26"/>
      <c r="AK179" s="9"/>
    </row>
    <row r="180" spans="6:37">
      <c r="F180" s="8"/>
      <c r="M180" s="26"/>
      <c r="AK180" s="9"/>
    </row>
    <row r="181" spans="6:37">
      <c r="F181" s="8"/>
      <c r="M181" s="26"/>
      <c r="AK181" s="9"/>
    </row>
    <row r="182" spans="6:37">
      <c r="F182" s="8"/>
      <c r="M182" s="26"/>
      <c r="AK182" s="9"/>
    </row>
    <row r="183" spans="6:37">
      <c r="F183" s="8"/>
      <c r="M183" s="26"/>
      <c r="AK183" s="9"/>
    </row>
    <row r="184" spans="6:37">
      <c r="F184" s="8"/>
      <c r="M184" s="26"/>
      <c r="AK184" s="9"/>
    </row>
    <row r="185" spans="6:37">
      <c r="F185" s="8"/>
      <c r="M185" s="26"/>
      <c r="AK185" s="9"/>
    </row>
    <row r="186" spans="6:37">
      <c r="F186" s="8"/>
      <c r="M186" s="26"/>
      <c r="AK186" s="9"/>
    </row>
    <row r="187" spans="6:37">
      <c r="F187" s="8"/>
      <c r="M187" s="26"/>
      <c r="AK187" s="9"/>
    </row>
    <row r="188" spans="6:37">
      <c r="F188" s="8"/>
      <c r="M188" s="26"/>
      <c r="AK188" s="9"/>
    </row>
    <row r="189" spans="6:37">
      <c r="F189" s="8"/>
      <c r="M189" s="26"/>
      <c r="AK189" s="9"/>
    </row>
    <row r="190" spans="6:37">
      <c r="F190" s="8"/>
      <c r="M190" s="26"/>
      <c r="AK190" s="9"/>
    </row>
    <row r="191" spans="6:37">
      <c r="F191" s="8"/>
      <c r="M191" s="26"/>
      <c r="AK191" s="9"/>
    </row>
    <row r="192" spans="6:37">
      <c r="F192" s="8"/>
      <c r="M192" s="26"/>
      <c r="AK192" s="9"/>
    </row>
    <row r="193" spans="6:37">
      <c r="F193" s="8"/>
      <c r="M193" s="26"/>
      <c r="AK193" s="9"/>
    </row>
    <row r="194" spans="6:37">
      <c r="F194" s="8"/>
      <c r="M194" s="26"/>
      <c r="AK194" s="9"/>
    </row>
    <row r="195" spans="6:37">
      <c r="F195" s="8"/>
      <c r="M195" s="26"/>
      <c r="AK195" s="9"/>
    </row>
    <row r="196" spans="6:37">
      <c r="F196" s="8"/>
      <c r="M196" s="26"/>
      <c r="AK196" s="9"/>
    </row>
    <row r="197" spans="6:37">
      <c r="F197" s="8"/>
      <c r="M197" s="26"/>
      <c r="AK197" s="9"/>
    </row>
    <row r="198" spans="6:37">
      <c r="F198" s="8"/>
      <c r="M198" s="26"/>
      <c r="AK198" s="9"/>
    </row>
    <row r="199" spans="6:37">
      <c r="F199" s="8"/>
      <c r="M199" s="26"/>
      <c r="AK199" s="9"/>
    </row>
    <row r="200" spans="6:37">
      <c r="F200" s="8"/>
      <c r="M200" s="26"/>
      <c r="AK200" s="9"/>
    </row>
    <row r="201" spans="6:37">
      <c r="F201" s="8"/>
      <c r="M201" s="26"/>
      <c r="AK201" s="9"/>
    </row>
    <row r="202" spans="6:37">
      <c r="F202" s="8"/>
      <c r="M202" s="26"/>
      <c r="AK202" s="9"/>
    </row>
    <row r="203" spans="6:37">
      <c r="F203" s="8"/>
      <c r="M203" s="26"/>
      <c r="AK203" s="9"/>
    </row>
    <row r="204" spans="6:37">
      <c r="F204" s="8"/>
      <c r="M204" s="26"/>
      <c r="AK204" s="9"/>
    </row>
    <row r="205" spans="6:37">
      <c r="F205" s="8"/>
      <c r="M205" s="26"/>
      <c r="AK205" s="9"/>
    </row>
    <row r="206" spans="6:37">
      <c r="F206" s="8"/>
      <c r="M206" s="26"/>
      <c r="AK206" s="9"/>
    </row>
    <row r="207" spans="6:37">
      <c r="F207" s="8"/>
      <c r="M207" s="26"/>
      <c r="AK207" s="9"/>
    </row>
    <row r="208" spans="6:37">
      <c r="F208" s="8"/>
      <c r="M208" s="26"/>
      <c r="AK208" s="9"/>
    </row>
    <row r="209" spans="6:37">
      <c r="F209" s="8"/>
      <c r="M209" s="26"/>
      <c r="AK209" s="9"/>
    </row>
    <row r="210" spans="6:37">
      <c r="F210" s="8"/>
      <c r="M210" s="26"/>
      <c r="AK210" s="9"/>
    </row>
    <row r="211" spans="6:37">
      <c r="F211" s="8"/>
      <c r="M211" s="26"/>
      <c r="AK211" s="9"/>
    </row>
    <row r="212" spans="6:37">
      <c r="F212" s="8"/>
      <c r="M212" s="26"/>
      <c r="AK212" s="9"/>
    </row>
    <row r="213" spans="6:37">
      <c r="F213" s="8"/>
      <c r="M213" s="26"/>
      <c r="AK213" s="9"/>
    </row>
    <row r="214" spans="6:37">
      <c r="F214" s="8"/>
      <c r="M214" s="26"/>
      <c r="AK214" s="9"/>
    </row>
    <row r="215" spans="6:37">
      <c r="F215" s="8"/>
      <c r="M215" s="26"/>
      <c r="AK215" s="9"/>
    </row>
    <row r="216" spans="6:37">
      <c r="F216" s="8"/>
      <c r="M216" s="26"/>
      <c r="AK216" s="9"/>
    </row>
    <row r="217" spans="6:37">
      <c r="F217" s="8"/>
      <c r="M217" s="26"/>
      <c r="AK217" s="9"/>
    </row>
    <row r="218" spans="6:37">
      <c r="F218" s="8"/>
      <c r="M218" s="26"/>
      <c r="AK218" s="9"/>
    </row>
    <row r="219" spans="6:37">
      <c r="F219" s="8"/>
      <c r="M219" s="26"/>
      <c r="AK219" s="9"/>
    </row>
    <row r="220" spans="6:37">
      <c r="F220" s="8"/>
      <c r="M220" s="26"/>
      <c r="AK220" s="9"/>
    </row>
    <row r="221" spans="6:37">
      <c r="F221" s="8"/>
      <c r="M221" s="26"/>
      <c r="AK221" s="9"/>
    </row>
    <row r="222" spans="6:37">
      <c r="F222" s="8"/>
      <c r="M222" s="26"/>
      <c r="AK222" s="9"/>
    </row>
    <row r="223" spans="6:37">
      <c r="F223" s="8"/>
      <c r="M223" s="26"/>
      <c r="AK223" s="9"/>
    </row>
    <row r="224" spans="6:37">
      <c r="F224" s="8"/>
      <c r="M224" s="26"/>
      <c r="AK224" s="9"/>
    </row>
    <row r="225" spans="6:37">
      <c r="F225" s="8"/>
      <c r="M225" s="26"/>
      <c r="AK225" s="9"/>
    </row>
    <row r="226" spans="6:37">
      <c r="F226" s="8"/>
      <c r="M226" s="26"/>
      <c r="AK226" s="9"/>
    </row>
    <row r="227" spans="6:37">
      <c r="F227" s="8"/>
      <c r="M227" s="26"/>
      <c r="AK227" s="9"/>
    </row>
    <row r="228" spans="6:37">
      <c r="F228" s="8"/>
      <c r="M228" s="26"/>
      <c r="AK228" s="9"/>
    </row>
    <row r="229" spans="6:37">
      <c r="F229" s="8"/>
      <c r="M229" s="26"/>
      <c r="AK229" s="9"/>
    </row>
    <row r="230" spans="6:37">
      <c r="F230" s="8"/>
      <c r="M230" s="26"/>
      <c r="AK230" s="9"/>
    </row>
    <row r="231" spans="6:37">
      <c r="F231" s="8"/>
      <c r="M231" s="26"/>
      <c r="AK231" s="9"/>
    </row>
    <row r="232" spans="6:37">
      <c r="F232" s="8"/>
      <c r="M232" s="26"/>
      <c r="AK232" s="9"/>
    </row>
    <row r="233" spans="6:37">
      <c r="F233" s="8"/>
      <c r="M233" s="26"/>
      <c r="AK233" s="9"/>
    </row>
    <row r="234" spans="6:37">
      <c r="F234" s="8"/>
      <c r="M234" s="26"/>
      <c r="AK234" s="9"/>
    </row>
    <row r="235" spans="6:37">
      <c r="F235" s="8"/>
      <c r="M235" s="26"/>
      <c r="AK235" s="9"/>
    </row>
    <row r="236" spans="6:37">
      <c r="F236" s="8"/>
      <c r="M236" s="26"/>
      <c r="AK236" s="9"/>
    </row>
    <row r="237" spans="6:37">
      <c r="F237" s="8"/>
      <c r="M237" s="26"/>
      <c r="AK237" s="9"/>
    </row>
    <row r="238" spans="6:37">
      <c r="F238" s="8"/>
      <c r="M238" s="26"/>
      <c r="AK238" s="9"/>
    </row>
    <row r="239" spans="6:37">
      <c r="F239" s="8"/>
      <c r="M239" s="26"/>
      <c r="AK239" s="9"/>
    </row>
    <row r="240" spans="6:37">
      <c r="F240" s="8"/>
      <c r="M240" s="26"/>
      <c r="AK240" s="9"/>
    </row>
    <row r="241" spans="6:37">
      <c r="F241" s="8"/>
      <c r="M241" s="26"/>
      <c r="AK241" s="9"/>
    </row>
    <row r="242" spans="6:37">
      <c r="F242" s="8"/>
      <c r="M242" s="26"/>
      <c r="AK242" s="9"/>
    </row>
    <row r="243" spans="6:37">
      <c r="F243" s="8"/>
      <c r="M243" s="26"/>
      <c r="AK243" s="9"/>
    </row>
    <row r="244" spans="6:37">
      <c r="F244" s="8"/>
      <c r="M244" s="26"/>
      <c r="AK244" s="9"/>
    </row>
    <row r="245" spans="6:37">
      <c r="F245" s="8"/>
      <c r="M245" s="26"/>
      <c r="AK245" s="9"/>
    </row>
    <row r="246" spans="6:37">
      <c r="F246" s="8"/>
      <c r="M246" s="26"/>
      <c r="AK246" s="9"/>
    </row>
    <row r="247" spans="6:37">
      <c r="F247" s="8"/>
      <c r="M247" s="26"/>
      <c r="AK247" s="9"/>
    </row>
    <row r="248" spans="6:37">
      <c r="F248" s="8"/>
      <c r="M248" s="26"/>
      <c r="AK248" s="9"/>
    </row>
    <row r="249" spans="6:37">
      <c r="F249" s="8"/>
      <c r="M249" s="26"/>
      <c r="AK249" s="9"/>
    </row>
    <row r="250" spans="6:37">
      <c r="F250" s="8"/>
      <c r="M250" s="26"/>
      <c r="AK250" s="9"/>
    </row>
    <row r="251" spans="6:37">
      <c r="F251" s="8"/>
      <c r="M251" s="26"/>
      <c r="AK251" s="9"/>
    </row>
    <row r="252" spans="6:37">
      <c r="F252" s="8"/>
      <c r="M252" s="26"/>
      <c r="AK252" s="9"/>
    </row>
    <row r="253" spans="6:37">
      <c r="F253" s="8"/>
      <c r="M253" s="26"/>
      <c r="AK253" s="9"/>
    </row>
    <row r="254" spans="6:37">
      <c r="F254" s="8"/>
      <c r="M254" s="26"/>
      <c r="AK254" s="9"/>
    </row>
    <row r="255" spans="6:37">
      <c r="F255" s="8"/>
      <c r="M255" s="26"/>
      <c r="AK255" s="9"/>
    </row>
    <row r="256" spans="6:37">
      <c r="F256" s="8"/>
      <c r="M256" s="26"/>
      <c r="AK256" s="9"/>
    </row>
    <row r="257" spans="6:37">
      <c r="F257" s="8"/>
      <c r="M257" s="26"/>
      <c r="AK257" s="9"/>
    </row>
    <row r="258" spans="6:37">
      <c r="F258" s="8"/>
      <c r="M258" s="26"/>
      <c r="AK258" s="9"/>
    </row>
    <row r="259" spans="6:37">
      <c r="F259" s="8"/>
      <c r="M259" s="26"/>
      <c r="AK259" s="9"/>
    </row>
    <row r="260" spans="6:37">
      <c r="F260" s="8"/>
      <c r="M260" s="26"/>
      <c r="AK260" s="9"/>
    </row>
    <row r="261" spans="6:37">
      <c r="F261" s="8"/>
      <c r="M261" s="26"/>
      <c r="AK261" s="9"/>
    </row>
    <row r="262" spans="6:37">
      <c r="F262" s="8"/>
      <c r="M262" s="26"/>
      <c r="AK262" s="9"/>
    </row>
    <row r="263" spans="6:37">
      <c r="F263" s="8"/>
      <c r="M263" s="26"/>
      <c r="AK263" s="9"/>
    </row>
    <row r="264" spans="6:37">
      <c r="F264" s="8"/>
      <c r="M264" s="26"/>
      <c r="AK264" s="9"/>
    </row>
    <row r="265" spans="6:37">
      <c r="F265" s="8"/>
      <c r="M265" s="26"/>
      <c r="AK265" s="9"/>
    </row>
    <row r="266" spans="6:37">
      <c r="F266" s="8"/>
      <c r="M266" s="26"/>
      <c r="AK266" s="9"/>
    </row>
    <row r="267" spans="6:37">
      <c r="F267" s="8"/>
      <c r="M267" s="26"/>
      <c r="AK267" s="9"/>
    </row>
    <row r="268" spans="6:37">
      <c r="F268" s="8"/>
      <c r="M268" s="26"/>
      <c r="AK268" s="9"/>
    </row>
    <row r="269" spans="6:37">
      <c r="F269" s="8"/>
      <c r="M269" s="26"/>
      <c r="AK269" s="9"/>
    </row>
    <row r="270" spans="6:37">
      <c r="F270" s="8"/>
      <c r="M270" s="26"/>
      <c r="AK270" s="9"/>
    </row>
    <row r="271" spans="6:37">
      <c r="F271" s="8"/>
      <c r="M271" s="26"/>
      <c r="AK271" s="9"/>
    </row>
    <row r="272" spans="6:37">
      <c r="F272" s="8"/>
      <c r="M272" s="26"/>
      <c r="AK272" s="9"/>
    </row>
    <row r="273" spans="6:37">
      <c r="F273" s="8"/>
      <c r="M273" s="26"/>
      <c r="AK273" s="9"/>
    </row>
    <row r="274" spans="6:37">
      <c r="F274" s="8"/>
      <c r="M274" s="26"/>
      <c r="AK274" s="9"/>
    </row>
    <row r="275" spans="6:37">
      <c r="F275" s="8"/>
      <c r="M275" s="26"/>
      <c r="AK275" s="9"/>
    </row>
    <row r="276" spans="6:37">
      <c r="F276" s="8"/>
      <c r="M276" s="26"/>
      <c r="AK276" s="9"/>
    </row>
    <row r="277" spans="6:37">
      <c r="F277" s="8"/>
      <c r="M277" s="26"/>
      <c r="AK277" s="9"/>
    </row>
    <row r="278" spans="6:37">
      <c r="F278" s="8"/>
      <c r="M278" s="26"/>
      <c r="AK278" s="9"/>
    </row>
    <row r="279" spans="6:37">
      <c r="F279" s="8"/>
      <c r="M279" s="26"/>
      <c r="AK279" s="9"/>
    </row>
    <row r="280" spans="6:37">
      <c r="F280" s="8"/>
      <c r="M280" s="26"/>
      <c r="AK280" s="9"/>
    </row>
    <row r="281" spans="6:37">
      <c r="F281" s="8"/>
      <c r="M281" s="26"/>
      <c r="AK281" s="9"/>
    </row>
    <row r="282" spans="6:37">
      <c r="F282" s="8"/>
      <c r="M282" s="26"/>
      <c r="AK282" s="9"/>
    </row>
    <row r="283" spans="6:37">
      <c r="F283" s="8"/>
      <c r="M283" s="26"/>
      <c r="AK283" s="9"/>
    </row>
    <row r="284" spans="6:37">
      <c r="F284" s="8"/>
      <c r="M284" s="26"/>
      <c r="AK284" s="9"/>
    </row>
    <row r="285" spans="6:37">
      <c r="F285" s="8"/>
      <c r="M285" s="26"/>
      <c r="AK285" s="9"/>
    </row>
    <row r="286" spans="6:37">
      <c r="F286" s="8"/>
      <c r="M286" s="26"/>
      <c r="AK286" s="9"/>
    </row>
    <row r="287" spans="6:37">
      <c r="F287" s="8"/>
      <c r="M287" s="26"/>
      <c r="AK287" s="9"/>
    </row>
    <row r="288" spans="6:37">
      <c r="F288" s="8"/>
      <c r="M288" s="26"/>
      <c r="AK288" s="9"/>
    </row>
    <row r="289" spans="6:37">
      <c r="F289" s="8"/>
      <c r="M289" s="26"/>
      <c r="AK289" s="9"/>
    </row>
    <row r="290" spans="6:37">
      <c r="F290" s="8"/>
      <c r="M290" s="26"/>
      <c r="AK290" s="9"/>
    </row>
    <row r="291" spans="6:37">
      <c r="F291" s="8"/>
      <c r="M291" s="26"/>
      <c r="AK291" s="9"/>
    </row>
    <row r="292" spans="6:37">
      <c r="F292" s="8"/>
      <c r="M292" s="26"/>
      <c r="AK292" s="9"/>
    </row>
    <row r="293" spans="6:37">
      <c r="F293" s="8"/>
      <c r="M293" s="26"/>
      <c r="AK293" s="9"/>
    </row>
    <row r="294" spans="6:37">
      <c r="F294" s="8"/>
      <c r="M294" s="26"/>
      <c r="AK294" s="9"/>
    </row>
    <row r="295" spans="6:37">
      <c r="F295" s="8"/>
      <c r="M295" s="26"/>
      <c r="AK295" s="9"/>
    </row>
    <row r="296" spans="6:37">
      <c r="F296" s="8"/>
      <c r="M296" s="26"/>
      <c r="AK296" s="9"/>
    </row>
    <row r="297" spans="6:37">
      <c r="F297" s="8"/>
      <c r="M297" s="26"/>
      <c r="AK297" s="9"/>
    </row>
    <row r="298" spans="6:37">
      <c r="F298" s="8"/>
      <c r="M298" s="26"/>
      <c r="AK298" s="9"/>
    </row>
    <row r="299" spans="6:37">
      <c r="F299" s="8"/>
      <c r="M299" s="26"/>
      <c r="AK299" s="9"/>
    </row>
    <row r="300" spans="6:37">
      <c r="F300" s="8"/>
      <c r="M300" s="26"/>
      <c r="AK300" s="9"/>
    </row>
    <row r="301" spans="6:37">
      <c r="F301" s="8"/>
      <c r="M301" s="26"/>
      <c r="AK301" s="9"/>
    </row>
    <row r="302" spans="6:37">
      <c r="F302" s="8"/>
      <c r="M302" s="26"/>
      <c r="AK302" s="9"/>
    </row>
    <row r="303" spans="6:37">
      <c r="F303" s="8"/>
      <c r="M303" s="26"/>
      <c r="AK303" s="9"/>
    </row>
    <row r="304" spans="6:37">
      <c r="F304" s="8"/>
      <c r="M304" s="26"/>
      <c r="AK304" s="9"/>
    </row>
    <row r="305" spans="6:37">
      <c r="F305" s="8"/>
      <c r="M305" s="26"/>
      <c r="AK305" s="9"/>
    </row>
    <row r="306" spans="6:37">
      <c r="F306" s="8"/>
      <c r="M306" s="26"/>
      <c r="AK306" s="9"/>
    </row>
    <row r="307" spans="6:37">
      <c r="F307" s="8"/>
      <c r="M307" s="26"/>
      <c r="AK307" s="9"/>
    </row>
    <row r="308" spans="6:37">
      <c r="F308" s="8"/>
      <c r="M308" s="26"/>
      <c r="AK308" s="9"/>
    </row>
    <row r="309" spans="6:37">
      <c r="F309" s="8"/>
      <c r="M309" s="26"/>
      <c r="AK309" s="9"/>
    </row>
    <row r="310" spans="6:37">
      <c r="F310" s="8"/>
      <c r="M310" s="26"/>
      <c r="AK310" s="9"/>
    </row>
    <row r="311" spans="6:37">
      <c r="F311" s="8"/>
      <c r="M311" s="26"/>
      <c r="AK311" s="9"/>
    </row>
    <row r="312" spans="6:37">
      <c r="F312" s="8"/>
      <c r="M312" s="26"/>
      <c r="AK312" s="9"/>
    </row>
    <row r="313" spans="6:37">
      <c r="F313" s="8"/>
      <c r="M313" s="26"/>
      <c r="AK313" s="9"/>
    </row>
    <row r="314" spans="6:37">
      <c r="F314" s="8"/>
      <c r="M314" s="26"/>
      <c r="AK314" s="9"/>
    </row>
    <row r="315" spans="6:37">
      <c r="F315" s="8"/>
      <c r="M315" s="26"/>
      <c r="AK315" s="9"/>
    </row>
    <row r="316" spans="6:37">
      <c r="F316" s="8"/>
      <c r="M316" s="26"/>
      <c r="AK316" s="9"/>
    </row>
    <row r="317" spans="6:37">
      <c r="F317" s="8"/>
      <c r="M317" s="26"/>
      <c r="AK317" s="9"/>
    </row>
    <row r="318" spans="6:37">
      <c r="F318" s="8"/>
      <c r="M318" s="26"/>
      <c r="AK318" s="9"/>
    </row>
    <row r="319" spans="6:37">
      <c r="F319" s="8"/>
      <c r="M319" s="26"/>
      <c r="AK319" s="9"/>
    </row>
    <row r="320" spans="6:37">
      <c r="F320" s="8"/>
      <c r="M320" s="26"/>
      <c r="AK320" s="9"/>
    </row>
    <row r="321" spans="6:37">
      <c r="F321" s="8"/>
      <c r="M321" s="26"/>
      <c r="AK321" s="9"/>
    </row>
    <row r="322" spans="6:37">
      <c r="F322" s="8"/>
      <c r="M322" s="26"/>
      <c r="AK322" s="9"/>
    </row>
    <row r="323" spans="6:37">
      <c r="F323" s="8"/>
      <c r="M323" s="26"/>
      <c r="AK323" s="9"/>
    </row>
    <row r="324" spans="6:37">
      <c r="F324" s="8"/>
      <c r="M324" s="26"/>
      <c r="AK324" s="9"/>
    </row>
    <row r="325" spans="6:37">
      <c r="F325" s="8"/>
      <c r="M325" s="26"/>
      <c r="AK325" s="9"/>
    </row>
    <row r="326" spans="6:37">
      <c r="F326" s="8"/>
      <c r="M326" s="26"/>
      <c r="AK326" s="9"/>
    </row>
    <row r="327" spans="6:37">
      <c r="F327" s="8"/>
      <c r="M327" s="26"/>
      <c r="AK327" s="9"/>
    </row>
    <row r="328" spans="6:37">
      <c r="F328" s="8"/>
      <c r="M328" s="26"/>
      <c r="AK328" s="9"/>
    </row>
    <row r="329" spans="6:37">
      <c r="F329" s="8"/>
      <c r="M329" s="26"/>
      <c r="AK329" s="9"/>
    </row>
    <row r="330" spans="6:37">
      <c r="F330" s="8"/>
      <c r="M330" s="26"/>
      <c r="AK330" s="9"/>
    </row>
    <row r="331" spans="6:37">
      <c r="F331" s="8"/>
      <c r="M331" s="26"/>
      <c r="AK331" s="9"/>
    </row>
    <row r="332" spans="6:37">
      <c r="F332" s="8"/>
      <c r="M332" s="26"/>
      <c r="AK332" s="9"/>
    </row>
    <row r="333" spans="6:37">
      <c r="F333" s="8"/>
      <c r="M333" s="26"/>
      <c r="AK333" s="9"/>
    </row>
    <row r="334" spans="6:37">
      <c r="F334" s="8"/>
      <c r="M334" s="26"/>
      <c r="AK334" s="9"/>
    </row>
    <row r="335" spans="6:37">
      <c r="F335" s="8"/>
      <c r="M335" s="26"/>
      <c r="AK335" s="9"/>
    </row>
    <row r="336" spans="6:37">
      <c r="F336" s="8"/>
      <c r="M336" s="26"/>
      <c r="AK336" s="9"/>
    </row>
    <row r="337" spans="6:37">
      <c r="F337" s="8"/>
      <c r="M337" s="26"/>
      <c r="AK337" s="9"/>
    </row>
    <row r="338" spans="6:37">
      <c r="F338" s="8"/>
      <c r="M338" s="26"/>
      <c r="AK338" s="9"/>
    </row>
    <row r="339" spans="6:37">
      <c r="F339" s="8"/>
      <c r="M339" s="26"/>
      <c r="AK339" s="9"/>
    </row>
    <row r="340" spans="6:37">
      <c r="F340" s="8"/>
      <c r="M340" s="26"/>
      <c r="AK340" s="9"/>
    </row>
    <row r="341" spans="6:37">
      <c r="F341" s="8"/>
      <c r="M341" s="26"/>
      <c r="AK341" s="9"/>
    </row>
    <row r="342" spans="6:37">
      <c r="F342" s="8"/>
      <c r="M342" s="26"/>
      <c r="AK342" s="9"/>
    </row>
    <row r="343" spans="6:37">
      <c r="F343" s="8"/>
      <c r="M343" s="26"/>
      <c r="AK343" s="9"/>
    </row>
    <row r="344" spans="6:37">
      <c r="F344" s="8"/>
      <c r="M344" s="26"/>
      <c r="AK344" s="9"/>
    </row>
    <row r="345" spans="6:37">
      <c r="F345" s="8"/>
      <c r="M345" s="26"/>
      <c r="AK345" s="9"/>
    </row>
    <row r="346" spans="6:37">
      <c r="F346" s="8"/>
      <c r="M346" s="26"/>
      <c r="AK346" s="9"/>
    </row>
    <row r="347" spans="6:37">
      <c r="F347" s="8"/>
      <c r="M347" s="26"/>
      <c r="AK347" s="9"/>
    </row>
    <row r="348" spans="6:37">
      <c r="F348" s="8"/>
      <c r="M348" s="26"/>
      <c r="AK348" s="9"/>
    </row>
    <row r="349" spans="6:37">
      <c r="F349" s="8"/>
      <c r="M349" s="26"/>
      <c r="AK349" s="9"/>
    </row>
    <row r="350" spans="6:37">
      <c r="F350" s="8"/>
      <c r="M350" s="26"/>
      <c r="AK350" s="9"/>
    </row>
    <row r="351" spans="6:37">
      <c r="F351" s="8"/>
      <c r="M351" s="26"/>
      <c r="AK351" s="9"/>
    </row>
    <row r="352" spans="6:37">
      <c r="F352" s="8"/>
      <c r="M352" s="26"/>
      <c r="AK352" s="9"/>
    </row>
    <row r="353" spans="6:37">
      <c r="F353" s="8"/>
      <c r="M353" s="26"/>
      <c r="AK353" s="9"/>
    </row>
    <row r="354" spans="6:37">
      <c r="F354" s="8"/>
      <c r="M354" s="26"/>
      <c r="AK354" s="9"/>
    </row>
    <row r="355" spans="6:37">
      <c r="F355" s="8"/>
      <c r="M355" s="26"/>
      <c r="AK355" s="9"/>
    </row>
    <row r="356" spans="6:37">
      <c r="F356" s="8"/>
      <c r="M356" s="26"/>
      <c r="AK356" s="9"/>
    </row>
    <row r="357" spans="6:37">
      <c r="F357" s="8"/>
      <c r="M357" s="26"/>
      <c r="AK357" s="9"/>
    </row>
    <row r="358" spans="6:37">
      <c r="F358" s="8"/>
      <c r="M358" s="26"/>
      <c r="AK358" s="9"/>
    </row>
    <row r="359" spans="6:37">
      <c r="F359" s="8"/>
      <c r="M359" s="26"/>
      <c r="AK359" s="9"/>
    </row>
    <row r="360" spans="6:37">
      <c r="F360" s="8"/>
      <c r="M360" s="26"/>
      <c r="AK360" s="9"/>
    </row>
    <row r="361" spans="6:37">
      <c r="F361" s="8"/>
      <c r="M361" s="26"/>
      <c r="AK361" s="9"/>
    </row>
    <row r="362" spans="6:37">
      <c r="F362" s="8"/>
      <c r="M362" s="26"/>
      <c r="AK362" s="9"/>
    </row>
    <row r="363" spans="6:37">
      <c r="F363" s="8"/>
      <c r="M363" s="26"/>
      <c r="AK363" s="9"/>
    </row>
    <row r="364" spans="6:37">
      <c r="F364" s="8"/>
      <c r="M364" s="26"/>
      <c r="AK364" s="9"/>
    </row>
    <row r="365" spans="6:37">
      <c r="F365" s="8"/>
      <c r="M365" s="26"/>
      <c r="AK365" s="9"/>
    </row>
    <row r="366" spans="6:37">
      <c r="F366" s="8"/>
      <c r="M366" s="26"/>
      <c r="AK366" s="9"/>
    </row>
    <row r="367" spans="6:37">
      <c r="F367" s="8"/>
      <c r="M367" s="26"/>
      <c r="AK367" s="9"/>
    </row>
    <row r="368" spans="6:37">
      <c r="F368" s="8"/>
      <c r="M368" s="26"/>
      <c r="AK368" s="9"/>
    </row>
    <row r="369" spans="6:37">
      <c r="F369" s="8"/>
      <c r="M369" s="26"/>
      <c r="AK369" s="9"/>
    </row>
    <row r="370" spans="6:37">
      <c r="F370" s="8"/>
      <c r="M370" s="26"/>
      <c r="AK370" s="9"/>
    </row>
    <row r="371" spans="6:37">
      <c r="F371" s="8"/>
      <c r="M371" s="26"/>
      <c r="AK371" s="9"/>
    </row>
    <row r="372" spans="6:37">
      <c r="F372" s="8"/>
      <c r="M372" s="26"/>
      <c r="AK372" s="9"/>
    </row>
    <row r="373" spans="6:37">
      <c r="F373" s="8"/>
      <c r="M373" s="26"/>
      <c r="AK373" s="9"/>
    </row>
    <row r="374" spans="6:37">
      <c r="F374" s="8"/>
      <c r="M374" s="26"/>
      <c r="AK374" s="9"/>
    </row>
    <row r="375" spans="6:37">
      <c r="F375" s="8"/>
      <c r="M375" s="26"/>
      <c r="AK375" s="9"/>
    </row>
    <row r="376" spans="6:37">
      <c r="F376" s="8"/>
      <c r="M376" s="26"/>
      <c r="AK376" s="9"/>
    </row>
    <row r="377" spans="6:37">
      <c r="F377" s="8"/>
      <c r="M377" s="26"/>
      <c r="AK377" s="9"/>
    </row>
    <row r="378" spans="6:37">
      <c r="F378" s="8"/>
      <c r="M378" s="26"/>
      <c r="AK378" s="9"/>
    </row>
    <row r="379" spans="6:37">
      <c r="F379" s="8"/>
      <c r="M379" s="26"/>
      <c r="AK379" s="9"/>
    </row>
    <row r="380" spans="6:37">
      <c r="F380" s="8"/>
      <c r="M380" s="26"/>
      <c r="AK380" s="9"/>
    </row>
    <row r="381" spans="6:37">
      <c r="F381" s="8"/>
      <c r="M381" s="26"/>
      <c r="AK381" s="9"/>
    </row>
    <row r="382" spans="6:37">
      <c r="F382" s="8"/>
      <c r="M382" s="26"/>
      <c r="AK382" s="9"/>
    </row>
    <row r="383" spans="6:37">
      <c r="F383" s="8"/>
      <c r="M383" s="26"/>
      <c r="AK383" s="9"/>
    </row>
    <row r="384" spans="6:37">
      <c r="F384" s="8"/>
      <c r="M384" s="26"/>
      <c r="AK384" s="9"/>
    </row>
    <row r="385" spans="6:37">
      <c r="F385" s="8"/>
      <c r="M385" s="26"/>
      <c r="AK385" s="9"/>
    </row>
    <row r="386" spans="6:37">
      <c r="F386" s="8"/>
      <c r="M386" s="26"/>
      <c r="AK386" s="9"/>
    </row>
    <row r="387" spans="6:37">
      <c r="F387" s="8"/>
      <c r="M387" s="26"/>
      <c r="AK387" s="9"/>
    </row>
    <row r="388" spans="6:37">
      <c r="F388" s="8"/>
      <c r="M388" s="26"/>
      <c r="AK388" s="9"/>
    </row>
    <row r="389" spans="6:37">
      <c r="F389" s="8"/>
      <c r="M389" s="26"/>
      <c r="AK389" s="9"/>
    </row>
    <row r="390" spans="6:37">
      <c r="F390" s="8"/>
      <c r="M390" s="26"/>
      <c r="AK390" s="9"/>
    </row>
    <row r="391" spans="6:37">
      <c r="F391" s="8"/>
      <c r="M391" s="26"/>
      <c r="AK391" s="9"/>
    </row>
    <row r="392" spans="6:37">
      <c r="F392" s="8"/>
      <c r="M392" s="26"/>
      <c r="AK392" s="9"/>
    </row>
    <row r="393" spans="6:37">
      <c r="F393" s="8"/>
      <c r="M393" s="26"/>
      <c r="AK393" s="9"/>
    </row>
    <row r="394" spans="6:37">
      <c r="F394" s="8"/>
      <c r="M394" s="26"/>
      <c r="AK394" s="9"/>
    </row>
    <row r="395" spans="6:37">
      <c r="F395" s="8"/>
      <c r="M395" s="26"/>
      <c r="AK395" s="9"/>
    </row>
    <row r="396" spans="6:37">
      <c r="F396" s="8"/>
      <c r="M396" s="26"/>
      <c r="AK396" s="9"/>
    </row>
    <row r="397" spans="6:37">
      <c r="F397" s="8"/>
      <c r="M397" s="26"/>
      <c r="AK397" s="9"/>
    </row>
    <row r="398" spans="6:37">
      <c r="F398" s="8"/>
      <c r="M398" s="26"/>
      <c r="AK398" s="9"/>
    </row>
    <row r="399" spans="6:37">
      <c r="F399" s="8"/>
      <c r="M399" s="26"/>
      <c r="AK399" s="9"/>
    </row>
    <row r="400" spans="6:37">
      <c r="F400" s="8"/>
      <c r="M400" s="26"/>
      <c r="AK400" s="9"/>
    </row>
    <row r="401" spans="6:37">
      <c r="F401" s="8"/>
      <c r="M401" s="26"/>
      <c r="AK401" s="9"/>
    </row>
    <row r="402" spans="6:37">
      <c r="F402" s="8"/>
      <c r="M402" s="26"/>
      <c r="AK402" s="9"/>
    </row>
    <row r="403" spans="6:37">
      <c r="F403" s="8"/>
      <c r="M403" s="26"/>
      <c r="AK403" s="9"/>
    </row>
    <row r="404" spans="6:37">
      <c r="F404" s="8"/>
      <c r="M404" s="26"/>
      <c r="AK404" s="9"/>
    </row>
    <row r="405" spans="6:37">
      <c r="F405" s="8"/>
      <c r="M405" s="26"/>
      <c r="AK405" s="9"/>
    </row>
    <row r="406" spans="6:37">
      <c r="F406" s="8"/>
      <c r="M406" s="26"/>
      <c r="AK406" s="9"/>
    </row>
    <row r="407" spans="6:37">
      <c r="F407" s="8"/>
      <c r="M407" s="26"/>
      <c r="AK407" s="9"/>
    </row>
    <row r="408" spans="6:37">
      <c r="F408" s="8"/>
      <c r="M408" s="26"/>
      <c r="AK408" s="9"/>
    </row>
    <row r="409" spans="6:37">
      <c r="F409" s="8"/>
      <c r="M409" s="26"/>
      <c r="AK409" s="9"/>
    </row>
    <row r="410" spans="6:37">
      <c r="F410" s="8"/>
      <c r="M410" s="26"/>
      <c r="AK410" s="9"/>
    </row>
    <row r="411" spans="6:37">
      <c r="F411" s="8"/>
      <c r="M411" s="26"/>
      <c r="AK411" s="9"/>
    </row>
    <row r="412" spans="6:37">
      <c r="F412" s="8"/>
      <c r="M412" s="26"/>
      <c r="AK412" s="9"/>
    </row>
    <row r="413" spans="6:37">
      <c r="F413" s="8"/>
      <c r="M413" s="26"/>
      <c r="AK413" s="9"/>
    </row>
    <row r="414" spans="6:37">
      <c r="F414" s="8"/>
      <c r="M414" s="26"/>
      <c r="AK414" s="9"/>
    </row>
    <row r="415" spans="6:37">
      <c r="F415" s="8"/>
      <c r="M415" s="26"/>
      <c r="AK415" s="9"/>
    </row>
    <row r="416" spans="6:37">
      <c r="F416" s="8"/>
      <c r="M416" s="26"/>
      <c r="AK416" s="9"/>
    </row>
    <row r="417" spans="6:37">
      <c r="F417" s="8"/>
      <c r="M417" s="26"/>
      <c r="AK417" s="9"/>
    </row>
    <row r="418" spans="6:37">
      <c r="F418" s="8"/>
      <c r="M418" s="26"/>
      <c r="AK418" s="9"/>
    </row>
    <row r="419" spans="6:37">
      <c r="F419" s="8"/>
      <c r="M419" s="26"/>
      <c r="AK419" s="9"/>
    </row>
    <row r="420" spans="6:37">
      <c r="F420" s="8"/>
      <c r="M420" s="26"/>
      <c r="AK420" s="9"/>
    </row>
    <row r="421" spans="6:37">
      <c r="F421" s="8"/>
      <c r="M421" s="26"/>
      <c r="AK421" s="9"/>
    </row>
    <row r="422" spans="6:37">
      <c r="F422" s="8"/>
      <c r="M422" s="26"/>
      <c r="AK422" s="9"/>
    </row>
    <row r="423" spans="6:37">
      <c r="F423" s="8"/>
      <c r="M423" s="26"/>
      <c r="AK423" s="9"/>
    </row>
    <row r="424" spans="6:37">
      <c r="F424" s="8"/>
      <c r="M424" s="26"/>
      <c r="AK424" s="9"/>
    </row>
    <row r="425" spans="6:37">
      <c r="F425" s="8"/>
      <c r="M425" s="26"/>
      <c r="AK425" s="9"/>
    </row>
    <row r="426" spans="6:37">
      <c r="F426" s="8"/>
      <c r="M426" s="26"/>
      <c r="AK426" s="9"/>
    </row>
    <row r="427" spans="6:37">
      <c r="F427" s="8"/>
      <c r="M427" s="26"/>
      <c r="AK427" s="9"/>
    </row>
    <row r="428" spans="6:37">
      <c r="F428" s="8"/>
      <c r="M428" s="26"/>
      <c r="AK428" s="9"/>
    </row>
    <row r="429" spans="6:37">
      <c r="F429" s="8"/>
      <c r="M429" s="26"/>
      <c r="AK429" s="9"/>
    </row>
    <row r="430" spans="6:37">
      <c r="F430" s="8"/>
      <c r="M430" s="26"/>
      <c r="AK430" s="9"/>
    </row>
    <row r="431" spans="6:37">
      <c r="F431" s="8"/>
      <c r="M431" s="26"/>
      <c r="AK431" s="9"/>
    </row>
    <row r="432" spans="6:37">
      <c r="F432" s="8"/>
      <c r="M432" s="26"/>
      <c r="AK432" s="9"/>
    </row>
    <row r="433" spans="6:37">
      <c r="F433" s="8"/>
      <c r="M433" s="26"/>
      <c r="AK433" s="9"/>
    </row>
    <row r="434" spans="6:37">
      <c r="F434" s="8"/>
      <c r="M434" s="26"/>
      <c r="AK434" s="9"/>
    </row>
    <row r="435" spans="6:37">
      <c r="F435" s="8"/>
      <c r="M435" s="26"/>
      <c r="AK435" s="9"/>
    </row>
    <row r="436" spans="6:37">
      <c r="F436" s="8"/>
      <c r="M436" s="26"/>
      <c r="AK436" s="9"/>
    </row>
    <row r="437" spans="6:37">
      <c r="F437" s="8"/>
      <c r="M437" s="26"/>
      <c r="AK437" s="9"/>
    </row>
    <row r="438" spans="6:37">
      <c r="F438" s="8"/>
      <c r="M438" s="26"/>
      <c r="AK438" s="9"/>
    </row>
    <row r="439" spans="6:37">
      <c r="F439" s="8"/>
      <c r="M439" s="26"/>
      <c r="AK439" s="9"/>
    </row>
    <row r="440" spans="6:37">
      <c r="F440" s="8"/>
      <c r="M440" s="26"/>
      <c r="AK440" s="9"/>
    </row>
    <row r="441" spans="6:37">
      <c r="F441" s="8"/>
      <c r="M441" s="26"/>
      <c r="AK441" s="9"/>
    </row>
    <row r="442" spans="6:37">
      <c r="F442" s="8"/>
      <c r="M442" s="26"/>
      <c r="AK442" s="9"/>
    </row>
    <row r="443" spans="6:37">
      <c r="F443" s="8"/>
      <c r="M443" s="26"/>
      <c r="AK443" s="9"/>
    </row>
    <row r="444" spans="6:37">
      <c r="F444" s="8"/>
      <c r="M444" s="26"/>
      <c r="AK444" s="9"/>
    </row>
    <row r="445" spans="6:37">
      <c r="F445" s="8"/>
      <c r="M445" s="26"/>
      <c r="AK445" s="9"/>
    </row>
    <row r="446" spans="6:37">
      <c r="F446" s="8"/>
      <c r="M446" s="26"/>
      <c r="AK446" s="9"/>
    </row>
    <row r="447" spans="6:37">
      <c r="F447" s="8"/>
      <c r="M447" s="26"/>
      <c r="AK447" s="9"/>
    </row>
    <row r="448" spans="6:37">
      <c r="F448" s="8"/>
      <c r="M448" s="26"/>
      <c r="AK448" s="9"/>
    </row>
    <row r="449" spans="6:37">
      <c r="F449" s="8"/>
      <c r="M449" s="26"/>
      <c r="AK449" s="9"/>
    </row>
    <row r="450" spans="6:37">
      <c r="F450" s="8"/>
      <c r="M450" s="26"/>
      <c r="AK450" s="9"/>
    </row>
    <row r="451" spans="6:37">
      <c r="F451" s="8"/>
      <c r="M451" s="26"/>
      <c r="AK451" s="9"/>
    </row>
    <row r="452" spans="6:37">
      <c r="F452" s="8"/>
      <c r="M452" s="26"/>
      <c r="AK452" s="9"/>
    </row>
    <row r="453" spans="6:37">
      <c r="F453" s="8"/>
      <c r="M453" s="26"/>
      <c r="AK453" s="9"/>
    </row>
    <row r="454" spans="6:37">
      <c r="F454" s="8"/>
      <c r="M454" s="26"/>
      <c r="AK454" s="9"/>
    </row>
    <row r="455" spans="6:37">
      <c r="F455" s="8"/>
      <c r="M455" s="26"/>
      <c r="AK455" s="9"/>
    </row>
    <row r="456" spans="6:37">
      <c r="F456" s="8"/>
      <c r="M456" s="26"/>
      <c r="AK456" s="9"/>
    </row>
    <row r="457" spans="6:37">
      <c r="F457" s="8"/>
      <c r="M457" s="26"/>
      <c r="AK457" s="9"/>
    </row>
    <row r="458" spans="6:37">
      <c r="F458" s="8"/>
      <c r="M458" s="26"/>
      <c r="AK458" s="9"/>
    </row>
    <row r="459" spans="6:37">
      <c r="F459" s="8"/>
      <c r="M459" s="26"/>
      <c r="AK459" s="9"/>
    </row>
    <row r="460" spans="6:37">
      <c r="F460" s="8"/>
      <c r="M460" s="26"/>
      <c r="AK460" s="9"/>
    </row>
    <row r="461" spans="6:37">
      <c r="F461" s="8"/>
      <c r="M461" s="26"/>
      <c r="AK461" s="9"/>
    </row>
    <row r="462" spans="6:37">
      <c r="F462" s="8"/>
      <c r="M462" s="26"/>
      <c r="AK462" s="9"/>
    </row>
    <row r="463" spans="6:37">
      <c r="F463" s="8"/>
      <c r="M463" s="26"/>
      <c r="AK463" s="9"/>
    </row>
    <row r="464" spans="6:37">
      <c r="F464" s="8"/>
      <c r="M464" s="26"/>
      <c r="AK464" s="9"/>
    </row>
    <row r="465" spans="6:37">
      <c r="F465" s="8"/>
      <c r="M465" s="26"/>
      <c r="AK465" s="9"/>
    </row>
    <row r="466" spans="6:37">
      <c r="F466" s="8"/>
      <c r="M466" s="26"/>
      <c r="AK466" s="9"/>
    </row>
    <row r="467" spans="6:37">
      <c r="F467" s="8"/>
      <c r="M467" s="26"/>
      <c r="AK467" s="9"/>
    </row>
    <row r="468" spans="6:37">
      <c r="F468" s="8"/>
      <c r="M468" s="26"/>
      <c r="AK468" s="9"/>
    </row>
    <row r="469" spans="6:37">
      <c r="F469" s="8"/>
      <c r="M469" s="26"/>
      <c r="AK469" s="9"/>
    </row>
    <row r="470" spans="6:37">
      <c r="F470" s="8"/>
      <c r="M470" s="26"/>
      <c r="AK470" s="9"/>
    </row>
    <row r="471" spans="6:37">
      <c r="F471" s="8"/>
      <c r="M471" s="26"/>
      <c r="AK471" s="9"/>
    </row>
    <row r="472" spans="6:37">
      <c r="F472" s="8"/>
      <c r="M472" s="26"/>
      <c r="AK472" s="9"/>
    </row>
    <row r="473" spans="6:37">
      <c r="F473" s="8"/>
      <c r="M473" s="26"/>
      <c r="AK473" s="9"/>
    </row>
    <row r="474" spans="6:37">
      <c r="F474" s="8"/>
      <c r="M474" s="26"/>
      <c r="AK474" s="9"/>
    </row>
    <row r="475" spans="6:37">
      <c r="F475" s="8"/>
      <c r="M475" s="26"/>
      <c r="AK475" s="9"/>
    </row>
    <row r="476" spans="6:37">
      <c r="F476" s="8"/>
      <c r="M476" s="26"/>
      <c r="AK476" s="9"/>
    </row>
    <row r="477" spans="6:37">
      <c r="F477" s="8"/>
      <c r="M477" s="26"/>
      <c r="AK477" s="9"/>
    </row>
    <row r="478" spans="6:37">
      <c r="F478" s="8"/>
      <c r="M478" s="26"/>
      <c r="AK478" s="9"/>
    </row>
    <row r="479" spans="6:37">
      <c r="F479" s="8"/>
      <c r="M479" s="26"/>
      <c r="AK479" s="9"/>
    </row>
    <row r="480" spans="6:37">
      <c r="F480" s="8"/>
      <c r="M480" s="26"/>
      <c r="AK480" s="9"/>
    </row>
    <row r="481" spans="6:37">
      <c r="F481" s="8"/>
      <c r="M481" s="26"/>
      <c r="AK481" s="9"/>
    </row>
    <row r="482" spans="6:37">
      <c r="F482" s="8"/>
      <c r="M482" s="26"/>
      <c r="AK482" s="9"/>
    </row>
    <row r="483" spans="6:37">
      <c r="F483" s="8"/>
      <c r="M483" s="26"/>
      <c r="AK483" s="9"/>
    </row>
    <row r="484" spans="6:37">
      <c r="F484" s="8"/>
      <c r="M484" s="26"/>
      <c r="AK484" s="9"/>
    </row>
    <row r="485" spans="6:37">
      <c r="F485" s="8"/>
      <c r="M485" s="26"/>
      <c r="AK485" s="9"/>
    </row>
    <row r="486" spans="6:37">
      <c r="F486" s="8"/>
      <c r="M486" s="26"/>
      <c r="AK486" s="9"/>
    </row>
    <row r="487" spans="6:37">
      <c r="F487" s="8"/>
      <c r="M487" s="26"/>
      <c r="AK487" s="9"/>
    </row>
    <row r="488" spans="6:37">
      <c r="F488" s="8"/>
      <c r="M488" s="26"/>
      <c r="AK488" s="9"/>
    </row>
    <row r="489" spans="6:37">
      <c r="F489" s="8"/>
      <c r="M489" s="26"/>
      <c r="AK489" s="9"/>
    </row>
    <row r="490" spans="6:37">
      <c r="F490" s="8"/>
      <c r="M490" s="26"/>
      <c r="AK490" s="9"/>
    </row>
    <row r="491" spans="6:37">
      <c r="F491" s="8"/>
      <c r="M491" s="26"/>
      <c r="AK491" s="9"/>
    </row>
    <row r="492" spans="6:37">
      <c r="F492" s="8"/>
      <c r="M492" s="26"/>
      <c r="AK492" s="9"/>
    </row>
    <row r="493" spans="6:37">
      <c r="F493" s="8"/>
      <c r="M493" s="26"/>
      <c r="AK493" s="9"/>
    </row>
    <row r="494" spans="6:37">
      <c r="F494" s="8"/>
      <c r="M494" s="26"/>
      <c r="AK494" s="9"/>
    </row>
    <row r="495" spans="6:37">
      <c r="F495" s="8"/>
      <c r="M495" s="26"/>
      <c r="AK495" s="9"/>
    </row>
    <row r="496" spans="6:37">
      <c r="F496" s="8"/>
      <c r="M496" s="26"/>
      <c r="AK496" s="9"/>
    </row>
    <row r="497" spans="6:37">
      <c r="F497" s="8"/>
      <c r="M497" s="26"/>
      <c r="AK497" s="9"/>
    </row>
    <row r="498" spans="6:37">
      <c r="F498" s="8"/>
      <c r="M498" s="26"/>
      <c r="AK498" s="9"/>
    </row>
    <row r="499" spans="6:37">
      <c r="F499" s="8"/>
      <c r="M499" s="26"/>
      <c r="AK499" s="9"/>
    </row>
    <row r="500" spans="6:37">
      <c r="F500" s="8"/>
      <c r="M500" s="26"/>
      <c r="AK500" s="9"/>
    </row>
  </sheetData>
  <conditionalFormatting sqref="B6:B500">
    <cfRule type="containsText" dxfId="0" priority="1" operator="between" text="Full text included">
      <formula>NOT(ISERROR(SEARCH("Full text included",B6)))</formula>
    </cfRule>
    <cfRule type="containsText" dxfId="1" priority="2" operator="between" text="Excluded">
      <formula>NOT(ISERROR(SEARCH("Excluded",B6)))</formula>
    </cfRule>
    <cfRule type="containsText" dxfId="2" priority="3" operator="between" text="Seed">
      <formula>NOT(ISERROR(SEARCH("Seed",B6)))</formula>
    </cfRule>
  </conditionalFormatting>
  <dataValidations count="6">
    <dataValidation type="list" sqref="B6:B500">
      <formula1>"Seed - pending full text,Title/abstract included,Full text included,Excluded,Duplicate"</formula1>
    </dataValidation>
    <dataValidation type="list" sqref="C6:C500">
      <formula1>"A: Cyberbullying and Content Moderation,B: RAG and Scientific QA,C: Cross-Lingual Retrieval,D: Table-Aware Processing,E: Faithfulness and Abstention"</formula1>
    </dataValidation>
    <dataValidation type="list" sqref="H6:H500">
      <formula1>"Yes,No,Unclear"</formula1>
    </dataValidation>
    <dataValidation type="list" sqref="I6:I500">
      <formula1>"Empirical method,Benchmark,Evaluation framework,Evaluation method,Dataset paper,Application study,Systematic review,Scoping review,Survey,Preprint"</formula1>
    </dataValidation>
    <dataValidation type="list" sqref="AI6:AI500">
      <formula1>"High,Medium,Low,Unclear"</formula1>
    </dataValidation>
    <dataValidation type="list" sqref="AG6:AH500">
      <formula1>"Yes,No,Partial,Unclear"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9EAF7"/>
  </sheetPr>
  <dimension ref="A2:Q500"/>
  <sheetViews>
    <sheetView showGridLines="0" workbookViewId="0">
      <pane xSplit="2" ySplit="5" topLeftCell="C6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4"/>
  <cols>
    <col min="1" max="1" width="12" customWidth="1"/>
    <col min="2" max="2" width="52" customWidth="1"/>
    <col min="3" max="12" width="17" customWidth="1"/>
    <col min="13" max="14" width="15" customWidth="1"/>
    <col min="15" max="15" width="20" customWidth="1"/>
    <col min="16" max="16" width="16" customWidth="1"/>
    <col min="17" max="17" width="40" customWidth="1"/>
  </cols>
  <sheetData>
    <row r="2" ht="18" spans="1:17">
      <c r="A2" s="1" t="s">
        <v>98</v>
      </c>
    </row>
    <row r="3" spans="1:17">
      <c r="A3" s="2" t="s">
        <v>99</v>
      </c>
    </row>
    <row r="5" ht="44" customHeight="1" spans="1:17">
      <c r="A5" s="3" t="s">
        <v>3</v>
      </c>
      <c r="B5" s="3" t="s">
        <v>100</v>
      </c>
      <c r="C5" s="3" t="s">
        <v>101</v>
      </c>
      <c r="D5" s="3" t="s">
        <v>102</v>
      </c>
      <c r="E5" s="3" t="s">
        <v>103</v>
      </c>
      <c r="F5" s="3" t="s">
        <v>104</v>
      </c>
      <c r="G5" s="3" t="s">
        <v>105</v>
      </c>
      <c r="H5" s="3" t="s">
        <v>30</v>
      </c>
      <c r="I5" s="3" t="s">
        <v>106</v>
      </c>
      <c r="J5" s="3" t="s">
        <v>107</v>
      </c>
      <c r="K5" s="3" t="s">
        <v>108</v>
      </c>
      <c r="L5" s="3" t="s">
        <v>109</v>
      </c>
      <c r="M5" s="3" t="s">
        <v>110</v>
      </c>
      <c r="N5" s="3" t="s">
        <v>111</v>
      </c>
      <c r="O5" s="3" t="s">
        <v>112</v>
      </c>
      <c r="P5" s="3" t="s">
        <v>113</v>
      </c>
      <c r="Q5" s="3" t="s">
        <v>114</v>
      </c>
    </row>
    <row r="6" ht="58" customHeight="1" spans="1:17">
      <c r="A6" s="4" t="s">
        <v>40</v>
      </c>
      <c r="B6" s="5" t="str">
        <f>'Literature Matrix'!D6</f>
        <v>Lewis, P. et al. (2020). Retrieval-Augmented Generation for Knowledge-Intensive NLP Tasks. NeurIPS 33.</v>
      </c>
      <c r="C6" s="6"/>
      <c r="D6" s="6"/>
      <c r="E6" s="6"/>
      <c r="F6" s="6"/>
      <c r="G6" s="6"/>
      <c r="H6" s="6"/>
      <c r="I6" s="6"/>
      <c r="J6" s="6"/>
      <c r="K6" s="6"/>
      <c r="L6" s="6"/>
      <c r="M6" s="6" t="str">
        <f>IF(COUNT(C6:L6)&lt;10,"",SUM(C6:L6))</f>
        <v/>
      </c>
      <c r="N6" s="4" t="str">
        <f>IF(M6="","",IF(M6&gt;=16,"High",IF(M6&gt;=11,"Moderate","Low")))</f>
        <v/>
      </c>
      <c r="O6" s="4"/>
      <c r="P6" s="7"/>
      <c r="Q6" s="5"/>
    </row>
    <row r="7" ht="58" customHeight="1" spans="1:17">
      <c r="A7" s="4" t="s">
        <v>54</v>
      </c>
      <c r="B7" s="5" t="str">
        <f>'Literature Matrix'!D7</f>
        <v>Es, S., James, J., Espinosa Anke, L., and Schockaert, S. (2024). RAGAs: Automated Evaluation of Retrieval Augmented Generation. EACL 2024 System Demonstrations, 150-158.</v>
      </c>
      <c r="C7" s="6"/>
      <c r="D7" s="6"/>
      <c r="E7" s="6"/>
      <c r="F7" s="6"/>
      <c r="G7" s="6"/>
      <c r="H7" s="6"/>
      <c r="I7" s="6"/>
      <c r="J7" s="6"/>
      <c r="K7" s="6"/>
      <c r="L7" s="6"/>
      <c r="M7" s="6" t="str">
        <f>IF(COUNT(C7:L7)&lt;10,"",SUM(C7:L7))</f>
        <v/>
      </c>
      <c r="N7" s="4" t="str">
        <f>IF(M7="","",IF(M7&gt;=16,"High",IF(M7&gt;=11,"Moderate","Low")))</f>
        <v/>
      </c>
      <c r="O7" s="4"/>
      <c r="P7" s="7"/>
      <c r="Q7" s="5"/>
    </row>
    <row r="8" ht="58" customHeight="1" spans="1:17">
      <c r="A8" s="4" t="s">
        <v>63</v>
      </c>
      <c r="B8" s="5" t="str">
        <f>'Literature Matrix'!D8</f>
        <v>Ru, D. et al. (2024). RAGChecker: A Fine-grained Framework for Diagnosing Retrieval-Augmented Generation. NeurIPS 2024 Datasets and Benchmarks Track.</v>
      </c>
      <c r="C8" s="6"/>
      <c r="D8" s="6"/>
      <c r="E8" s="6"/>
      <c r="F8" s="6"/>
      <c r="G8" s="6"/>
      <c r="H8" s="6"/>
      <c r="I8" s="6"/>
      <c r="J8" s="6"/>
      <c r="K8" s="6"/>
      <c r="L8" s="6"/>
      <c r="M8" s="6" t="str">
        <f>IF(COUNT(C8:L8)&lt;10,"",SUM(C8:L8))</f>
        <v/>
      </c>
      <c r="N8" s="4" t="str">
        <f>IF(M8="","",IF(M8&gt;=16,"High",IF(M8&gt;=11,"Moderate","Low")))</f>
        <v/>
      </c>
      <c r="O8" s="4"/>
      <c r="P8" s="7"/>
      <c r="Q8" s="5"/>
    </row>
    <row r="9" ht="58" customHeight="1" spans="1:17">
      <c r="A9" s="4" t="s">
        <v>74</v>
      </c>
      <c r="B9" s="5" t="str">
        <f>'Literature Matrix'!D9</f>
        <v>Filice, S. et al. (2025). Generate but Verify: Answering with Faithfulness in RAG-based Question Answering. IJCNLP-AACL 2025, 1017-1037.</v>
      </c>
      <c r="C9" s="6"/>
      <c r="D9" s="6"/>
      <c r="E9" s="6"/>
      <c r="F9" s="6"/>
      <c r="G9" s="6"/>
      <c r="H9" s="6"/>
      <c r="I9" s="6"/>
      <c r="J9" s="6"/>
      <c r="K9" s="6"/>
      <c r="L9" s="6"/>
      <c r="M9" s="6" t="str">
        <f>IF(COUNT(C9:L9)&lt;10,"",SUM(C9:L9))</f>
        <v/>
      </c>
      <c r="N9" s="4" t="str">
        <f>IF(M9="","",IF(M9&gt;=16,"High",IF(M9&gt;=11,"Moderate","Low")))</f>
        <v/>
      </c>
      <c r="O9" s="4"/>
      <c r="P9" s="7"/>
      <c r="Q9" s="5"/>
    </row>
    <row r="10" ht="58" customHeight="1" spans="1:17">
      <c r="A10" s="4" t="s">
        <v>85</v>
      </c>
      <c r="B10" s="5" t="str">
        <f>'Literature Matrix'!D10</f>
        <v>Fashakh, A. M. et al. (2025). Egyptian Informatics Journal, 32, 100856.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 t="str">
        <f>IF(COUNT(C10:L10)&lt;10,"",SUM(C10:L10))</f>
        <v/>
      </c>
      <c r="N10" s="4" t="str">
        <f>IF(M10="","",IF(M10&gt;=16,"High",IF(M10&gt;=11,"Moderate","Low")))</f>
        <v/>
      </c>
      <c r="O10" s="4"/>
      <c r="P10" s="7"/>
      <c r="Q10" s="5"/>
    </row>
    <row r="11" spans="1:17"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P11" s="9"/>
    </row>
    <row r="12" spans="1:17"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P12" s="9"/>
    </row>
    <row r="13" spans="1:17"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P13" s="9"/>
    </row>
    <row r="14" spans="1:17"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P14" s="9"/>
    </row>
    <row r="15" spans="1:17"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P15" s="9"/>
    </row>
    <row r="16" spans="1:17"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P16" s="9"/>
    </row>
    <row r="17" spans="3:16"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P17" s="9"/>
    </row>
    <row r="18" spans="3:16"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P18" s="9"/>
    </row>
    <row r="19" spans="3:16"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P19" s="9"/>
    </row>
    <row r="20" spans="3:16"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P20" s="9"/>
    </row>
    <row r="21" spans="3:16"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P21" s="9"/>
    </row>
    <row r="22" spans="3:16"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P22" s="9"/>
    </row>
    <row r="23" spans="3:16"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P23" s="9"/>
    </row>
    <row r="24" spans="3:16"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P24" s="9"/>
    </row>
    <row r="25" spans="3:16"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P25" s="9"/>
    </row>
    <row r="26" spans="3:16"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P26" s="9"/>
    </row>
    <row r="27" spans="3:16"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P27" s="9"/>
    </row>
    <row r="28" spans="3:16"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P28" s="9"/>
    </row>
    <row r="29" spans="3:16"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P29" s="9"/>
    </row>
    <row r="30" spans="3:16"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P30" s="9"/>
    </row>
    <row r="31" spans="3:16"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P31" s="9"/>
    </row>
    <row r="32" spans="3:16"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P32" s="9"/>
    </row>
    <row r="33" spans="3:16"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P33" s="9"/>
    </row>
    <row r="34" spans="3:16"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P34" s="9"/>
    </row>
    <row r="35" spans="3:16"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P35" s="9"/>
    </row>
    <row r="36" spans="3:16"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P36" s="9"/>
    </row>
    <row r="37" spans="3:16"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P37" s="9"/>
    </row>
    <row r="38" spans="3:16"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P38" s="9"/>
    </row>
    <row r="39" spans="3:16"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P39" s="9"/>
    </row>
    <row r="40" spans="3:16"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P40" s="9"/>
    </row>
    <row r="41" spans="3:16"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P41" s="9"/>
    </row>
    <row r="42" spans="3:16"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P42" s="9"/>
    </row>
    <row r="43" spans="3:16"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P43" s="9"/>
    </row>
    <row r="44" spans="3:16"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P44" s="9"/>
    </row>
    <row r="45" spans="3:16"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P45" s="9"/>
    </row>
    <row r="46" spans="3:16"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P46" s="9"/>
    </row>
    <row r="47" spans="3:16"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P47" s="9"/>
    </row>
    <row r="48" spans="3:16"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P48" s="9"/>
    </row>
    <row r="49" spans="3:16"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P49" s="9"/>
    </row>
    <row r="50" spans="3:16"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P50" s="9"/>
    </row>
    <row r="51" spans="3:16"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P51" s="9"/>
    </row>
    <row r="52" spans="3:16"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P52" s="9"/>
    </row>
    <row r="53" spans="3:16"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P53" s="9"/>
    </row>
    <row r="54" spans="3:16"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P54" s="9"/>
    </row>
    <row r="55" spans="3:16"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P55" s="9"/>
    </row>
    <row r="56" spans="3:16"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P56" s="9"/>
    </row>
    <row r="57" spans="3:16"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P57" s="9"/>
    </row>
    <row r="58" spans="3:16"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P58" s="9"/>
    </row>
    <row r="59" spans="3:16"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P59" s="9"/>
    </row>
    <row r="60" spans="3:16"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P60" s="9"/>
    </row>
    <row r="61" spans="3:16"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P61" s="9"/>
    </row>
    <row r="62" spans="3:16"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P62" s="9"/>
    </row>
    <row r="63" spans="3:16"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P63" s="9"/>
    </row>
    <row r="64" spans="3:16"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P64" s="9"/>
    </row>
    <row r="65" spans="3:16"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P65" s="9"/>
    </row>
    <row r="66" spans="3:16"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P66" s="9"/>
    </row>
    <row r="67" spans="3:16"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P67" s="9"/>
    </row>
    <row r="68" spans="3:16"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P68" s="9"/>
    </row>
    <row r="69" spans="3:16"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P69" s="9"/>
    </row>
    <row r="70" spans="3:16"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P70" s="9"/>
    </row>
    <row r="71" spans="3:16"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P71" s="9"/>
    </row>
    <row r="72" spans="3:16"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P72" s="9"/>
    </row>
    <row r="73" spans="3:16"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P73" s="9"/>
    </row>
    <row r="74" spans="3:16"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P74" s="9"/>
    </row>
    <row r="75" spans="3:16"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P75" s="9"/>
    </row>
    <row r="76" spans="3:16"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P76" s="9"/>
    </row>
    <row r="77" spans="3:16"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P77" s="9"/>
    </row>
    <row r="78" spans="3:16"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P78" s="9"/>
    </row>
    <row r="79" spans="3:16"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P79" s="9"/>
    </row>
    <row r="80" spans="3:16"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P80" s="9"/>
    </row>
    <row r="81" spans="3:16"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P81" s="9"/>
    </row>
    <row r="82" spans="3:16"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P82" s="9"/>
    </row>
    <row r="83" spans="3:16"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P83" s="9"/>
    </row>
    <row r="84" spans="3:16"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P84" s="9"/>
    </row>
    <row r="85" spans="3:16"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P85" s="9"/>
    </row>
    <row r="86" spans="3:16"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P86" s="9"/>
    </row>
    <row r="87" spans="3:16"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P87" s="9"/>
    </row>
    <row r="88" spans="3:16"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P88" s="9"/>
    </row>
    <row r="89" spans="3:16"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P89" s="9"/>
    </row>
    <row r="90" spans="3:16"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P90" s="9"/>
    </row>
    <row r="91" spans="3:16"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P91" s="9"/>
    </row>
    <row r="92" spans="3:16"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P92" s="9"/>
    </row>
    <row r="93" spans="3:16"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P93" s="9"/>
    </row>
    <row r="94" spans="3:16"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P94" s="9"/>
    </row>
    <row r="95" spans="3:16"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P95" s="9"/>
    </row>
    <row r="96" spans="3:16"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P96" s="9"/>
    </row>
    <row r="97" spans="3:16"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P97" s="9"/>
    </row>
    <row r="98" spans="3:16"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P98" s="9"/>
    </row>
    <row r="99" spans="3:16"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P99" s="9"/>
    </row>
    <row r="100" spans="3:16"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P100" s="9"/>
    </row>
    <row r="101" spans="3:16"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P101" s="9"/>
    </row>
    <row r="102" spans="3:16"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P102" s="9"/>
    </row>
    <row r="103" spans="3:16"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P103" s="9"/>
    </row>
    <row r="104" spans="3:16"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P104" s="9"/>
    </row>
    <row r="105" spans="3:16"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P105" s="9"/>
    </row>
    <row r="106" spans="3:16"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P106" s="9"/>
    </row>
    <row r="107" spans="3:16"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P107" s="9"/>
    </row>
    <row r="108" spans="3:16"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P108" s="9"/>
    </row>
    <row r="109" spans="3:16"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P109" s="9"/>
    </row>
    <row r="110" spans="3:16"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P110" s="9"/>
    </row>
    <row r="111" spans="3:16"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P111" s="9"/>
    </row>
    <row r="112" spans="3:16"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P112" s="9"/>
    </row>
    <row r="113" spans="3:16"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P113" s="9"/>
    </row>
    <row r="114" spans="3:16"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P114" s="9"/>
    </row>
    <row r="115" spans="3:16"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P115" s="9"/>
    </row>
    <row r="116" spans="3:16"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P116" s="9"/>
    </row>
    <row r="117" spans="3:16"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P117" s="9"/>
    </row>
    <row r="118" spans="3:16"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P118" s="9"/>
    </row>
    <row r="119" spans="3:16"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P119" s="9"/>
    </row>
    <row r="120" spans="3:16"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P120" s="9"/>
    </row>
    <row r="121" spans="3:16"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P121" s="9"/>
    </row>
    <row r="122" spans="3:16"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P122" s="9"/>
    </row>
    <row r="123" spans="3:16"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P123" s="9"/>
    </row>
    <row r="124" spans="3:16"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P124" s="9"/>
    </row>
    <row r="125" spans="3:16"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P125" s="9"/>
    </row>
    <row r="126" spans="3:16"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P126" s="9"/>
    </row>
    <row r="127" spans="3:16"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P127" s="9"/>
    </row>
    <row r="128" spans="3:16"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P128" s="9"/>
    </row>
    <row r="129" spans="3:16"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P129" s="9"/>
    </row>
    <row r="130" spans="3:16"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P130" s="9"/>
    </row>
    <row r="131" spans="3:16"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P131" s="9"/>
    </row>
    <row r="132" spans="3:16"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P132" s="9"/>
    </row>
    <row r="133" spans="3:16"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P133" s="9"/>
    </row>
    <row r="134" spans="3:16"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P134" s="9"/>
    </row>
    <row r="135" spans="3:16"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P135" s="9"/>
    </row>
    <row r="136" spans="3:16"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P136" s="9"/>
    </row>
    <row r="137" spans="3:16"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P137" s="9"/>
    </row>
    <row r="138" spans="3:16"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P138" s="9"/>
    </row>
    <row r="139" spans="3:16"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P139" s="9"/>
    </row>
    <row r="140" spans="3:16"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P140" s="9"/>
    </row>
    <row r="141" spans="3:16"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P141" s="9"/>
    </row>
    <row r="142" spans="3:16"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P142" s="9"/>
    </row>
    <row r="143" spans="3:16"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P143" s="9"/>
    </row>
    <row r="144" spans="3:16"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P144" s="9"/>
    </row>
    <row r="145" spans="3:16"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P145" s="9"/>
    </row>
    <row r="146" spans="3:16"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P146" s="9"/>
    </row>
    <row r="147" spans="3:16"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P147" s="9"/>
    </row>
    <row r="148" spans="3:16"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P148" s="9"/>
    </row>
    <row r="149" spans="3:16"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P149" s="9"/>
    </row>
    <row r="150" spans="3:16"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P150" s="9"/>
    </row>
    <row r="151" spans="3:16"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P151" s="9"/>
    </row>
    <row r="152" spans="3:16"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P152" s="9"/>
    </row>
    <row r="153" spans="3:16"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P153" s="9"/>
    </row>
    <row r="154" spans="3:16"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P154" s="9"/>
    </row>
    <row r="155" spans="3:16"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P155" s="9"/>
    </row>
    <row r="156" spans="3:16"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P156" s="9"/>
    </row>
    <row r="157" spans="3:16"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P157" s="9"/>
    </row>
    <row r="158" spans="3:16"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P158" s="9"/>
    </row>
    <row r="159" spans="3:16"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P159" s="9"/>
    </row>
    <row r="160" spans="3:16"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P160" s="9"/>
    </row>
    <row r="161" spans="3:16"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P161" s="9"/>
    </row>
    <row r="162" spans="3:16"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P162" s="9"/>
    </row>
    <row r="163" spans="3:16"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P163" s="9"/>
    </row>
    <row r="164" spans="3:16"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P164" s="9"/>
    </row>
    <row r="165" spans="3:16"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P165" s="9"/>
    </row>
    <row r="166" spans="3:16"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P166" s="9"/>
    </row>
    <row r="167" spans="3:16"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P167" s="9"/>
    </row>
    <row r="168" spans="3:16"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P168" s="9"/>
    </row>
    <row r="169" spans="3:16"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P169" s="9"/>
    </row>
    <row r="170" spans="3:16"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P170" s="9"/>
    </row>
    <row r="171" spans="3:16"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P171" s="9"/>
    </row>
    <row r="172" spans="3:16"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P172" s="9"/>
    </row>
    <row r="173" spans="3:16"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P173" s="9"/>
    </row>
    <row r="174" spans="3:16"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P174" s="9"/>
    </row>
    <row r="175" spans="3:16"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P175" s="9"/>
    </row>
    <row r="176" spans="3:16"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P176" s="9"/>
    </row>
    <row r="177" spans="3:16"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P177" s="9"/>
    </row>
    <row r="178" spans="3:16"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P178" s="9"/>
    </row>
    <row r="179" spans="3:16"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P179" s="9"/>
    </row>
    <row r="180" spans="3:16"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P180" s="9"/>
    </row>
    <row r="181" spans="3:16"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P181" s="9"/>
    </row>
    <row r="182" spans="3:16"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P182" s="9"/>
    </row>
    <row r="183" spans="3:16"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P183" s="9"/>
    </row>
    <row r="184" spans="3:16"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P184" s="9"/>
    </row>
    <row r="185" spans="3:16"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P185" s="9"/>
    </row>
    <row r="186" spans="3:16"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P186" s="9"/>
    </row>
    <row r="187" spans="3:16"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P187" s="9"/>
    </row>
    <row r="188" spans="3:16"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P188" s="9"/>
    </row>
    <row r="189" spans="3:16"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P189" s="9"/>
    </row>
    <row r="190" spans="3:16"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P190" s="9"/>
    </row>
    <row r="191" spans="3:16"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P191" s="9"/>
    </row>
    <row r="192" spans="3:16"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P192" s="9"/>
    </row>
    <row r="193" spans="3:16"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P193" s="9"/>
    </row>
    <row r="194" spans="3:16"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P194" s="9"/>
    </row>
    <row r="195" spans="3:16"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P195" s="9"/>
    </row>
    <row r="196" spans="3:16"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P196" s="9"/>
    </row>
    <row r="197" spans="3:16"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P197" s="9"/>
    </row>
    <row r="198" spans="3:16"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P198" s="9"/>
    </row>
    <row r="199" spans="3:16"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P199" s="9"/>
    </row>
    <row r="200" spans="3:16"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P200" s="9"/>
    </row>
    <row r="201" spans="3:16"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P201" s="9"/>
    </row>
    <row r="202" spans="3:16"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P202" s="9"/>
    </row>
    <row r="203" spans="3:16"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P203" s="9"/>
    </row>
    <row r="204" spans="3:16"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P204" s="9"/>
    </row>
    <row r="205" spans="3:16"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P205" s="9"/>
    </row>
    <row r="206" spans="3:16"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P206" s="9"/>
    </row>
    <row r="207" spans="3:16"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P207" s="9"/>
    </row>
    <row r="208" spans="3:16"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P208" s="9"/>
    </row>
    <row r="209" spans="3:16"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P209" s="9"/>
    </row>
    <row r="210" spans="3:16"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P210" s="9"/>
    </row>
    <row r="211" spans="3:16"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P211" s="9"/>
    </row>
    <row r="212" spans="3:16"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P212" s="9"/>
    </row>
    <row r="213" spans="3:16"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P213" s="9"/>
    </row>
    <row r="214" spans="3:16"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P214" s="9"/>
    </row>
    <row r="215" spans="3:16"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P215" s="9"/>
    </row>
    <row r="216" spans="3:16"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P216" s="9"/>
    </row>
    <row r="217" spans="3:16"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P217" s="9"/>
    </row>
    <row r="218" spans="3:16"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P218" s="9"/>
    </row>
    <row r="219" spans="3:16"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P219" s="9"/>
    </row>
    <row r="220" spans="3:16"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P220" s="9"/>
    </row>
    <row r="221" spans="3:16"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P221" s="9"/>
    </row>
    <row r="222" spans="3:16"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P222" s="9"/>
    </row>
    <row r="223" spans="3:16"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P223" s="9"/>
    </row>
    <row r="224" spans="3:16"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P224" s="9"/>
    </row>
    <row r="225" spans="3:16"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P225" s="9"/>
    </row>
    <row r="226" spans="3:16"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P226" s="9"/>
    </row>
    <row r="227" spans="3:16"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P227" s="9"/>
    </row>
    <row r="228" spans="3:16"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P228" s="9"/>
    </row>
    <row r="229" spans="3:16"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P229" s="9"/>
    </row>
    <row r="230" spans="3:16"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P230" s="9"/>
    </row>
    <row r="231" spans="3:16"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P231" s="9"/>
    </row>
    <row r="232" spans="3:16"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P232" s="9"/>
    </row>
    <row r="233" spans="3:16"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P233" s="9"/>
    </row>
    <row r="234" spans="3:16"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P234" s="9"/>
    </row>
    <row r="235" spans="3:16"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P235" s="9"/>
    </row>
    <row r="236" spans="3:16"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P236" s="9"/>
    </row>
    <row r="237" spans="3:16"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P237" s="9"/>
    </row>
    <row r="238" spans="3:16"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P238" s="9"/>
    </row>
    <row r="239" spans="3:16"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P239" s="9"/>
    </row>
    <row r="240" spans="3:16"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P240" s="9"/>
    </row>
    <row r="241" spans="3:16"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P241" s="9"/>
    </row>
    <row r="242" spans="3:16"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P242" s="9"/>
    </row>
    <row r="243" spans="3:16"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P243" s="9"/>
    </row>
    <row r="244" spans="3:16"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P244" s="9"/>
    </row>
    <row r="245" spans="3:16"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P245" s="9"/>
    </row>
    <row r="246" spans="3:16"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P246" s="9"/>
    </row>
    <row r="247" spans="3:16"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P247" s="9"/>
    </row>
    <row r="248" spans="3:16"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P248" s="9"/>
    </row>
    <row r="249" spans="3:16"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P249" s="9"/>
    </row>
    <row r="250" spans="3:16"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P250" s="9"/>
    </row>
    <row r="251" spans="3:16"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P251" s="9"/>
    </row>
    <row r="252" spans="3:16"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P252" s="9"/>
    </row>
    <row r="253" spans="3:16"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P253" s="9"/>
    </row>
    <row r="254" spans="3:16"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P254" s="9"/>
    </row>
    <row r="255" spans="3:16"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P255" s="9"/>
    </row>
    <row r="256" spans="3:16"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P256" s="9"/>
    </row>
    <row r="257" spans="3:16"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P257" s="9"/>
    </row>
    <row r="258" spans="3:16"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P258" s="9"/>
    </row>
    <row r="259" spans="3:16"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P259" s="9"/>
    </row>
    <row r="260" spans="3:16"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P260" s="9"/>
    </row>
    <row r="261" spans="3:16"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P261" s="9"/>
    </row>
    <row r="262" spans="3:16"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P262" s="9"/>
    </row>
    <row r="263" spans="3:16"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P263" s="9"/>
    </row>
    <row r="264" spans="3:16"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P264" s="9"/>
    </row>
    <row r="265" spans="3:16"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P265" s="9"/>
    </row>
    <row r="266" spans="3:16"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P266" s="9"/>
    </row>
    <row r="267" spans="3:16"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P267" s="9"/>
    </row>
    <row r="268" spans="3:16"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P268" s="9"/>
    </row>
    <row r="269" spans="3:16"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P269" s="9"/>
    </row>
    <row r="270" spans="3:16"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P270" s="9"/>
    </row>
    <row r="271" spans="3:16"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P271" s="9"/>
    </row>
    <row r="272" spans="3:16"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P272" s="9"/>
    </row>
    <row r="273" spans="3:16"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P273" s="9"/>
    </row>
    <row r="274" spans="3:16"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P274" s="9"/>
    </row>
    <row r="275" spans="3:16"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P275" s="9"/>
    </row>
    <row r="276" spans="3:16"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P276" s="9"/>
    </row>
    <row r="277" spans="3:16"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P277" s="9"/>
    </row>
    <row r="278" spans="3:16"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P278" s="9"/>
    </row>
    <row r="279" spans="3:16"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P279" s="9"/>
    </row>
    <row r="280" spans="3:16"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P280" s="9"/>
    </row>
    <row r="281" spans="3:16"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P281" s="9"/>
    </row>
    <row r="282" spans="3:16"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P282" s="9"/>
    </row>
    <row r="283" spans="3:16"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P283" s="9"/>
    </row>
    <row r="284" spans="3:16"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P284" s="9"/>
    </row>
    <row r="285" spans="3:16"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P285" s="9"/>
    </row>
    <row r="286" spans="3:16"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P286" s="9"/>
    </row>
    <row r="287" spans="3:16"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P287" s="9"/>
    </row>
    <row r="288" spans="3:16"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P288" s="9"/>
    </row>
    <row r="289" spans="3:16"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P289" s="9"/>
    </row>
    <row r="290" spans="3:16"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P290" s="9"/>
    </row>
    <row r="291" spans="3:16"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P291" s="9"/>
    </row>
    <row r="292" spans="3:16"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P292" s="9"/>
    </row>
    <row r="293" spans="3:16"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P293" s="9"/>
    </row>
    <row r="294" spans="3:16"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P294" s="9"/>
    </row>
    <row r="295" spans="3:16"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P295" s="9"/>
    </row>
    <row r="296" spans="3:16"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P296" s="9"/>
    </row>
    <row r="297" spans="3:16"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P297" s="9"/>
    </row>
    <row r="298" spans="3:16"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P298" s="9"/>
    </row>
    <row r="299" spans="3:16"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P299" s="9"/>
    </row>
    <row r="300" spans="3:16"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P300" s="9"/>
    </row>
    <row r="301" spans="3:16"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P301" s="9"/>
    </row>
    <row r="302" spans="3:16"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P302" s="9"/>
    </row>
    <row r="303" spans="3:16"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P303" s="9"/>
    </row>
    <row r="304" spans="3:16"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P304" s="9"/>
    </row>
    <row r="305" spans="3:16"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P305" s="9"/>
    </row>
    <row r="306" spans="3:16"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P306" s="9"/>
    </row>
    <row r="307" spans="3:16"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P307" s="9"/>
    </row>
    <row r="308" spans="3:16"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P308" s="9"/>
    </row>
    <row r="309" spans="3:16"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P309" s="9"/>
    </row>
    <row r="310" spans="3:16"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P310" s="9"/>
    </row>
    <row r="311" spans="3:16"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P311" s="9"/>
    </row>
    <row r="312" spans="3:16"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P312" s="9"/>
    </row>
    <row r="313" spans="3:16"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P313" s="9"/>
    </row>
    <row r="314" spans="3:16"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P314" s="9"/>
    </row>
    <row r="315" spans="3:16"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P315" s="9"/>
    </row>
    <row r="316" spans="3:16"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P316" s="9"/>
    </row>
    <row r="317" spans="3:16"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P317" s="9"/>
    </row>
    <row r="318" spans="3:16"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P318" s="9"/>
    </row>
    <row r="319" spans="3:16"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P319" s="9"/>
    </row>
    <row r="320" spans="3:16"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P320" s="9"/>
    </row>
    <row r="321" spans="3:16"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P321" s="9"/>
    </row>
    <row r="322" spans="3:16"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P322" s="9"/>
    </row>
    <row r="323" spans="3:16"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P323" s="9"/>
    </row>
    <row r="324" spans="3:16"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P324" s="9"/>
    </row>
    <row r="325" spans="3:16"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P325" s="9"/>
    </row>
    <row r="326" spans="3:16"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P326" s="9"/>
    </row>
    <row r="327" spans="3:16"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P327" s="9"/>
    </row>
    <row r="328" spans="3:16"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P328" s="9"/>
    </row>
    <row r="329" spans="3:16"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P329" s="9"/>
    </row>
    <row r="330" spans="3:16"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P330" s="9"/>
    </row>
    <row r="331" spans="3:16"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P331" s="9"/>
    </row>
    <row r="332" spans="3:16"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P332" s="9"/>
    </row>
    <row r="333" spans="3:16"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P333" s="9"/>
    </row>
    <row r="334" spans="3:16"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P334" s="9"/>
    </row>
    <row r="335" spans="3:16"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P335" s="9"/>
    </row>
    <row r="336" spans="3:16"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P336" s="9"/>
    </row>
    <row r="337" spans="3:16"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P337" s="9"/>
    </row>
    <row r="338" spans="3:16"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P338" s="9"/>
    </row>
    <row r="339" spans="3:16"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P339" s="9"/>
    </row>
    <row r="340" spans="3:16"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P340" s="9"/>
    </row>
    <row r="341" spans="3:16"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P341" s="9"/>
    </row>
    <row r="342" spans="3:16"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P342" s="9"/>
    </row>
    <row r="343" spans="3:16"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P343" s="9"/>
    </row>
    <row r="344" spans="3:16"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P344" s="9"/>
    </row>
    <row r="345" spans="3:16"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P345" s="9"/>
    </row>
    <row r="346" spans="3:16"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P346" s="9"/>
    </row>
    <row r="347" spans="3:16"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P347" s="9"/>
    </row>
    <row r="348" spans="3:16"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P348" s="9"/>
    </row>
    <row r="349" spans="3:16"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P349" s="9"/>
    </row>
    <row r="350" spans="3:16"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P350" s="9"/>
    </row>
    <row r="351" spans="3:16"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P351" s="9"/>
    </row>
    <row r="352" spans="3:16"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P352" s="9"/>
    </row>
    <row r="353" spans="3:16"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P353" s="9"/>
    </row>
    <row r="354" spans="3:16"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P354" s="9"/>
    </row>
    <row r="355" spans="3:16"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P355" s="9"/>
    </row>
    <row r="356" spans="3:16"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P356" s="9"/>
    </row>
    <row r="357" spans="3:16"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P357" s="9"/>
    </row>
    <row r="358" spans="3:16"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P358" s="9"/>
    </row>
    <row r="359" spans="3:16"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P359" s="9"/>
    </row>
    <row r="360" spans="3:16"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P360" s="9"/>
    </row>
    <row r="361" spans="3:16"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P361" s="9"/>
    </row>
    <row r="362" spans="3:16"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P362" s="9"/>
    </row>
    <row r="363" spans="3:16"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P363" s="9"/>
    </row>
    <row r="364" spans="3:16"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P364" s="9"/>
    </row>
    <row r="365" spans="3:16"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P365" s="9"/>
    </row>
    <row r="366" spans="3:16"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P366" s="9"/>
    </row>
    <row r="367" spans="3:16"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P367" s="9"/>
    </row>
    <row r="368" spans="3:16"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P368" s="9"/>
    </row>
    <row r="369" spans="3:16"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P369" s="9"/>
    </row>
    <row r="370" spans="3:16"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P370" s="9"/>
    </row>
    <row r="371" spans="3:16"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P371" s="9"/>
    </row>
    <row r="372" spans="3:16"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P372" s="9"/>
    </row>
    <row r="373" spans="3:16"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P373" s="9"/>
    </row>
    <row r="374" spans="3:16"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P374" s="9"/>
    </row>
    <row r="375" spans="3:16"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P375" s="9"/>
    </row>
    <row r="376" spans="3:16"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P376" s="9"/>
    </row>
    <row r="377" spans="3:16"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P377" s="9"/>
    </row>
    <row r="378" spans="3:16"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P378" s="9"/>
    </row>
    <row r="379" spans="3:16"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P379" s="9"/>
    </row>
    <row r="380" spans="3:16"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P380" s="9"/>
    </row>
    <row r="381" spans="3:16"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P381" s="9"/>
    </row>
    <row r="382" spans="3:16"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P382" s="9"/>
    </row>
    <row r="383" spans="3:16"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P383" s="9"/>
    </row>
    <row r="384" spans="3:16"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P384" s="9"/>
    </row>
    <row r="385" spans="3:16"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P385" s="9"/>
    </row>
    <row r="386" spans="3:16"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P386" s="9"/>
    </row>
    <row r="387" spans="3:16"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P387" s="9"/>
    </row>
    <row r="388" spans="3:16"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P388" s="9"/>
    </row>
    <row r="389" spans="3:16"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P389" s="9"/>
    </row>
    <row r="390" spans="3:16"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P390" s="9"/>
    </row>
    <row r="391" spans="3:16"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P391" s="9"/>
    </row>
    <row r="392" spans="3:16"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P392" s="9"/>
    </row>
    <row r="393" spans="3:16"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P393" s="9"/>
    </row>
    <row r="394" spans="3:16"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P394" s="9"/>
    </row>
    <row r="395" spans="3:16"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P395" s="9"/>
    </row>
    <row r="396" spans="3:16"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P396" s="9"/>
    </row>
    <row r="397" spans="3:16"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P397" s="9"/>
    </row>
    <row r="398" spans="3:16"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P398" s="9"/>
    </row>
    <row r="399" spans="3:16"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P399" s="9"/>
    </row>
    <row r="400" spans="3:16"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P400" s="9"/>
    </row>
    <row r="401" spans="3:16"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P401" s="9"/>
    </row>
    <row r="402" spans="3:16"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P402" s="9"/>
    </row>
    <row r="403" spans="3:16"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P403" s="9"/>
    </row>
    <row r="404" spans="3:16"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P404" s="9"/>
    </row>
    <row r="405" spans="3:16"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P405" s="9"/>
    </row>
    <row r="406" spans="3:16"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P406" s="9"/>
    </row>
    <row r="407" spans="3:16"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P407" s="9"/>
    </row>
    <row r="408" spans="3:16"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P408" s="9"/>
    </row>
    <row r="409" spans="3:16"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P409" s="9"/>
    </row>
    <row r="410" spans="3:16"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P410" s="9"/>
    </row>
    <row r="411" spans="3:16"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P411" s="9"/>
    </row>
    <row r="412" spans="3:16"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P412" s="9"/>
    </row>
    <row r="413" spans="3:16"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P413" s="9"/>
    </row>
    <row r="414" spans="3:16"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P414" s="9"/>
    </row>
    <row r="415" spans="3:16"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P415" s="9"/>
    </row>
    <row r="416" spans="3:16"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P416" s="9"/>
    </row>
    <row r="417" spans="3:16"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P417" s="9"/>
    </row>
    <row r="418" spans="3:16"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P418" s="9"/>
    </row>
    <row r="419" spans="3:16"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P419" s="9"/>
    </row>
    <row r="420" spans="3:16"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P420" s="9"/>
    </row>
    <row r="421" spans="3:16"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P421" s="9"/>
    </row>
    <row r="422" spans="3:16"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P422" s="9"/>
    </row>
    <row r="423" spans="3:16"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P423" s="9"/>
    </row>
    <row r="424" spans="3:16"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P424" s="9"/>
    </row>
    <row r="425" spans="3:16"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P425" s="9"/>
    </row>
    <row r="426" spans="3:16"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P426" s="9"/>
    </row>
    <row r="427" spans="3:16"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P427" s="9"/>
    </row>
    <row r="428" spans="3:16"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P428" s="9"/>
    </row>
    <row r="429" spans="3:16"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P429" s="9"/>
    </row>
    <row r="430" spans="3:16"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P430" s="9"/>
    </row>
    <row r="431" spans="3:16"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P431" s="9"/>
    </row>
    <row r="432" spans="3:16"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P432" s="9"/>
    </row>
    <row r="433" spans="3:16"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P433" s="9"/>
    </row>
    <row r="434" spans="3:16"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P434" s="9"/>
    </row>
    <row r="435" spans="3:16"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P435" s="9"/>
    </row>
    <row r="436" spans="3:16"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P436" s="9"/>
    </row>
    <row r="437" spans="3:16"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P437" s="9"/>
    </row>
    <row r="438" spans="3:16"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P438" s="9"/>
    </row>
    <row r="439" spans="3:16"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P439" s="9"/>
    </row>
    <row r="440" spans="3:16"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P440" s="9"/>
    </row>
    <row r="441" spans="3:16"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P441" s="9"/>
    </row>
    <row r="442" spans="3:16"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P442" s="9"/>
    </row>
    <row r="443" spans="3:16"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P443" s="9"/>
    </row>
    <row r="444" spans="3:16"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P444" s="9"/>
    </row>
    <row r="445" spans="3:16"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P445" s="9"/>
    </row>
    <row r="446" spans="3:16"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P446" s="9"/>
    </row>
    <row r="447" spans="3:16"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P447" s="9"/>
    </row>
    <row r="448" spans="3:16"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P448" s="9"/>
    </row>
    <row r="449" spans="3:16"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P449" s="9"/>
    </row>
    <row r="450" spans="3:16"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P450" s="9"/>
    </row>
    <row r="451" spans="3:16"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P451" s="9"/>
    </row>
    <row r="452" spans="3:16"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P452" s="9"/>
    </row>
    <row r="453" spans="3:16"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P453" s="9"/>
    </row>
    <row r="454" spans="3:16"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P454" s="9"/>
    </row>
    <row r="455" spans="3:16"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P455" s="9"/>
    </row>
    <row r="456" spans="3:16"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P456" s="9"/>
    </row>
    <row r="457" spans="3:16"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P457" s="9"/>
    </row>
    <row r="458" spans="3:16"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P458" s="9"/>
    </row>
    <row r="459" spans="3:16"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P459" s="9"/>
    </row>
    <row r="460" spans="3:16"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P460" s="9"/>
    </row>
    <row r="461" spans="3:16"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P461" s="9"/>
    </row>
    <row r="462" spans="3:16"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P462" s="9"/>
    </row>
    <row r="463" spans="3:16"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P463" s="9"/>
    </row>
    <row r="464" spans="3:16"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P464" s="9"/>
    </row>
    <row r="465" spans="3:16"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P465" s="9"/>
    </row>
    <row r="466" spans="3:16"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P466" s="9"/>
    </row>
    <row r="467" spans="3:16"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P467" s="9"/>
    </row>
    <row r="468" spans="3:16"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P468" s="9"/>
    </row>
    <row r="469" spans="3:16"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P469" s="9"/>
    </row>
    <row r="470" spans="3:16"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P470" s="9"/>
    </row>
    <row r="471" spans="3:16"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P471" s="9"/>
    </row>
    <row r="472" spans="3:16"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P472" s="9"/>
    </row>
    <row r="473" spans="3:16"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P473" s="9"/>
    </row>
    <row r="474" spans="3:16"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P474" s="9"/>
    </row>
    <row r="475" spans="3:16"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P475" s="9"/>
    </row>
    <row r="476" spans="3:16"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P476" s="9"/>
    </row>
    <row r="477" spans="3:16"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P477" s="9"/>
    </row>
    <row r="478" spans="3:16"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P478" s="9"/>
    </row>
    <row r="479" spans="3:16"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P479" s="9"/>
    </row>
    <row r="480" spans="3:16"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P480" s="9"/>
    </row>
    <row r="481" spans="3:16"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P481" s="9"/>
    </row>
    <row r="482" spans="3:16"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P482" s="9"/>
    </row>
    <row r="483" spans="3:16"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P483" s="9"/>
    </row>
    <row r="484" spans="3:16"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P484" s="9"/>
    </row>
    <row r="485" spans="3:16"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P485" s="9"/>
    </row>
    <row r="486" spans="3:16"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P486" s="9"/>
    </row>
    <row r="487" spans="3:16"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P487" s="9"/>
    </row>
    <row r="488" spans="3:16"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P488" s="9"/>
    </row>
    <row r="489" spans="3:16"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P489" s="9"/>
    </row>
    <row r="490" spans="3:16"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P490" s="9"/>
    </row>
    <row r="491" spans="3:16"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P491" s="9"/>
    </row>
    <row r="492" spans="3:16"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P492" s="9"/>
    </row>
    <row r="493" spans="3:16"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P493" s="9"/>
    </row>
    <row r="494" spans="3:16"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P494" s="9"/>
    </row>
    <row r="495" spans="3:16"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P495" s="9"/>
    </row>
    <row r="496" spans="3:16"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P496" s="9"/>
    </row>
    <row r="497" spans="3:16"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P497" s="9"/>
    </row>
    <row r="498" spans="3:16"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P498" s="9"/>
    </row>
    <row r="499" spans="3:16"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P499" s="9"/>
    </row>
    <row r="500" spans="3:16"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P500" s="9"/>
    </row>
  </sheetData>
  <conditionalFormatting sqref="N6:N500">
    <cfRule type="containsText" dxfId="3" priority="1" operator="between" text="High">
      <formula>NOT(ISERROR(SEARCH("High",N6)))</formula>
    </cfRule>
    <cfRule type="containsText" dxfId="4" priority="2" operator="between" text="Moderate">
      <formula>NOT(ISERROR(SEARCH("Moderate",N6)))</formula>
    </cfRule>
    <cfRule type="containsText" dxfId="5" priority="3" operator="between" text="Low">
      <formula>NOT(ISERROR(SEARCH("Low",N6)))</formula>
    </cfRule>
  </conditionalFormatting>
  <dataValidations count="1">
    <dataValidation type="whole" operator="between" sqref="C6:L500">
      <formula1>0</formula1>
      <formula2>2</formula2>
    </dataValidation>
  </dataValidations>
  <pageMargins left="0.7" right="0.7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Literature Matrix</vt:lpstr>
      <vt:lpstr>Quality Appraisal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WPS_1766593999</cp:lastModifiedBy>
  <dcterms:created xsi:type="dcterms:W3CDTF">2026-10-02T14:55:13Z</dcterms:created>
  <dcterms:modified xsi:type="dcterms:W3CDTF">2026-10-02T14:58:53Z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1923D951C1C44B6CB992E31DC519F9BC_12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